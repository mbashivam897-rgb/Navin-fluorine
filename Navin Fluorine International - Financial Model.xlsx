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ation Summary" sheetId="2" state="visible" r:id="rId2"/>
    <sheet name="DCF" sheetId="3" state="visible" r:id="rId3"/>
    <sheet name="Ratio Analysis" sheetId="4" state="visible" r:id="rId4"/>
    <sheet name="Profit &amp; Loss" sheetId="5" state="visible" r:id="rId5"/>
    <sheet name="Balance Sheet" sheetId="6" state="visible" r:id="rId6"/>
    <sheet name="Cash Flow Statement" sheetId="7" state="visible" r:id="rId7"/>
    <sheet name="Assumptions" sheetId="8" state="visible" r:id="rId8"/>
    <sheet name="Working Capital Schedule" sheetId="9" state="visible" r:id="rId9"/>
    <sheet name="Working Schedules" sheetId="10" state="visible" r:id="rId10"/>
    <sheet name="Beta Calculation" sheetId="11" state="visible" r:id="rId11"/>
    <sheet name="Notes to Accou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 * #,##0.0_ ;_ * -#,##0.0_ ;_ * &quot;-&quot;??_ ;_ @_ "/>
    <numFmt numFmtId="165" formatCode="#,##0.0"/>
    <numFmt numFmtId="166" formatCode="_ * #,##0.00_ ;_ * -#,##0.00_ ;_ * &quot;-&quot;??_ ;_ @_ "/>
    <numFmt numFmtId="167" formatCode="0.00&quot;x&quot;"/>
    <numFmt numFmtId="168" formatCode="0.0%"/>
    <numFmt numFmtId="169" formatCode="0.0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8000"/>
      <sz val="11"/>
    </font>
    <font>
      <name val="Calibri"/>
      <color rgb="000000FF"/>
      <sz val="11"/>
    </font>
    <font>
      <name val="Calibri"/>
      <b val="1"/>
      <color rgb="00000000"/>
      <sz val="11"/>
    </font>
    <font>
      <name val="Calibri"/>
      <color rgb="00404040"/>
      <sz val="11"/>
    </font>
    <font>
      <name val="Calibri"/>
      <b val="1"/>
      <color rgb="000000FF"/>
      <sz val="11"/>
    </font>
    <font>
      <name val="Calibri"/>
      <i val="1"/>
      <color rgb="00000000"/>
      <sz val="11"/>
    </font>
    <font>
      <name val="Calibri"/>
      <i val="1"/>
      <color rgb="00808080"/>
      <sz val="11"/>
    </font>
    <font>
      <name val="Calibri"/>
      <b val="1"/>
      <color rgb="00008000"/>
      <sz val="11"/>
    </font>
    <font>
      <name val="Calibri"/>
      <b val="1"/>
      <i val="1"/>
      <color rgb="00000000"/>
      <sz val="11"/>
    </font>
    <font>
      <name val="Calibri"/>
      <b val="1"/>
      <i val="1"/>
      <color rgb="00595959"/>
      <sz val="11"/>
    </font>
    <font>
      <name val="Calibri"/>
      <i val="1"/>
      <color rgb="0040404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275D8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1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6" fontId="7" fillId="6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9" fillId="6" borderId="0" applyAlignment="1" pivotButton="0" quotePrefix="0" xfId="0">
      <alignment vertical="center"/>
    </xf>
    <xf numFmtId="0" fontId="7" fillId="5" borderId="0" applyAlignment="1" pivotButton="0" quotePrefix="0" xfId="0">
      <alignment horizontal="left" vertical="center"/>
    </xf>
    <xf numFmtId="0" fontId="0" fillId="5" borderId="0" pivotButton="0" quotePrefix="0" xfId="0"/>
    <xf numFmtId="166" fontId="7" fillId="6" borderId="1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10" fontId="6" fillId="4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6" fillId="4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165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167" fontId="5" fillId="0" borderId="0" applyAlignment="1" pivotButton="0" quotePrefix="0" xfId="0">
      <alignment vertical="center"/>
    </xf>
    <xf numFmtId="10" fontId="7" fillId="0" borderId="0" applyAlignment="1" pivotButton="0" quotePrefix="0" xfId="0">
      <alignment vertical="center"/>
    </xf>
    <xf numFmtId="10" fontId="7" fillId="6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9" fontId="4" fillId="0" borderId="0" applyAlignment="1" pivotButton="0" quotePrefix="0" xfId="0">
      <alignment vertical="center"/>
    </xf>
    <xf numFmtId="3" fontId="7" fillId="6" borderId="0" applyAlignment="1" pivotButton="0" quotePrefix="0" xfId="0">
      <alignment vertical="center"/>
    </xf>
    <xf numFmtId="3" fontId="6" fillId="4" borderId="0" applyAlignment="1" pivotButton="0" quotePrefix="0" xfId="0">
      <alignment vertical="center"/>
    </xf>
    <xf numFmtId="10" fontId="3" fillId="3" borderId="0" applyAlignment="1" pivotButton="0" quotePrefix="0" xfId="0">
      <alignment horizontal="center" vertical="center"/>
    </xf>
    <xf numFmtId="3" fontId="4" fillId="0" borderId="0" applyAlignment="1" pivotButton="0" quotePrefix="0" xfId="0">
      <alignment vertical="center"/>
    </xf>
    <xf numFmtId="167" fontId="6" fillId="4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vertical="center"/>
    </xf>
    <xf numFmtId="168" fontId="6" fillId="0" borderId="0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168" fontId="6" fillId="4" borderId="0" applyAlignment="1" pivotButton="0" quotePrefix="0" xfId="0">
      <alignment vertical="center"/>
    </xf>
    <xf numFmtId="167" fontId="7" fillId="6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3" fontId="12" fillId="6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0" fontId="7" fillId="6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3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7" fontId="12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10" fontId="9" fillId="0" borderId="0" applyAlignment="1" pivotButton="0" quotePrefix="0" xfId="0">
      <alignment vertical="center"/>
    </xf>
    <xf numFmtId="0" fontId="12" fillId="6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Equity Research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Integrated financial model &amp; valuation. Consolidated figures, Rs Crore. Base year FY2026 (audited results); forecast FY2027-FY2033.</t>
        </is>
      </c>
    </row>
    <row r="4">
      <c r="A4" s="18" t="inlineStr">
        <is>
          <t>Company snapshot</t>
        </is>
      </c>
      <c r="B4" s="19" t="n"/>
      <c r="C4" s="19" t="n"/>
      <c r="D4" s="19" t="n"/>
      <c r="E4" s="19" t="n"/>
      <c r="F4" s="19" t="n"/>
    </row>
    <row r="5" ht="52" customHeight="1">
      <c r="A5" s="58" t="inlineStr">
        <is>
          <t>Navin Fluorine International Ltd (NSE: NAVINFLUOR | BSE: 532504) is a leading Indian fluorochemicals company with four business lines - Refrigerant gases (HFCs/R-32), Inorganic fluorides, Specialty fluorochemicals (HPP), and CDMO/CRAMS (contract development &amp; manufacturing). It is one of the few integrated fluorination players with captive Anhydrous Hydrofluoric Acid (AHF) capacity, serving pharma, agro and industrial customers globally.</t>
        </is>
      </c>
    </row>
    <row r="6"/>
    <row r="7"/>
    <row r="8">
      <c r="A8" s="18" t="inlineStr">
        <is>
          <t>Market data (as of 25-Jun-2026)</t>
        </is>
      </c>
      <c r="B8" s="19" t="n"/>
      <c r="C8" s="19" t="n"/>
      <c r="D8" s="19" t="n"/>
      <c r="E8" s="19" t="n"/>
      <c r="F8" s="19" t="n"/>
    </row>
    <row r="9">
      <c r="A9" s="11" t="inlineStr">
        <is>
          <t>Current price (Rs)</t>
        </is>
      </c>
      <c r="B9" s="59" t="n">
        <v>7609</v>
      </c>
      <c r="D9" s="11" t="inlineStr">
        <is>
          <t>Market capitalisation (Rs Cr)</t>
        </is>
      </c>
      <c r="E9" s="60" t="n">
        <v>39032</v>
      </c>
    </row>
    <row r="10">
      <c r="A10" s="11" t="inlineStr">
        <is>
          <t>Shares outstanding (Cr)</t>
        </is>
      </c>
      <c r="B10" s="22">
        <f>'Working Schedules'!G23</f>
        <v/>
      </c>
      <c r="D10" s="11" t="inlineStr">
        <is>
          <t>Face value (Rs)</t>
        </is>
      </c>
      <c r="E10" s="61" t="n">
        <v>2</v>
      </c>
    </row>
    <row r="11">
      <c r="A11" s="11" t="inlineStr">
        <is>
          <t>52-week high / low (Rs)</t>
        </is>
      </c>
      <c r="B11" s="62" t="inlineStr">
        <is>
          <t>7,744 / 4,498</t>
        </is>
      </c>
      <c r="D11" s="11" t="inlineStr">
        <is>
          <t>Book value (Rs/share)</t>
        </is>
      </c>
      <c r="E11" s="59" t="n">
        <v>775</v>
      </c>
    </row>
    <row r="12">
      <c r="A12" s="11" t="inlineStr">
        <is>
          <t>P/E - FY26 (x)</t>
        </is>
      </c>
      <c r="B12" s="63">
        <f>B9/'Profit &amp; Loss'!G22</f>
        <v/>
      </c>
      <c r="D12" s="11" t="inlineStr">
        <is>
          <t>Price / Book (x)</t>
        </is>
      </c>
      <c r="E12" s="64" t="n">
        <v>9.800000000000001</v>
      </c>
    </row>
    <row r="13">
      <c r="A13" s="11" t="inlineStr">
        <is>
          <t>Beta (levered)</t>
        </is>
      </c>
      <c r="B13" s="63">
        <f>'Beta Calculation'!B22</f>
        <v/>
      </c>
      <c r="D13" s="11" t="inlineStr">
        <is>
          <t>Dividend yield (%)</t>
        </is>
      </c>
      <c r="E13" s="65" t="n">
        <v>0.002</v>
      </c>
    </row>
    <row r="14">
      <c r="A14" s="11" t="inlineStr">
        <is>
          <t>Consensus analyst target (Rs)</t>
        </is>
      </c>
      <c r="B14" s="59" t="n">
        <v>7386</v>
      </c>
      <c r="D14" s="11" t="inlineStr">
        <is>
          <t>India 10Y G-sec / Rf (%)</t>
        </is>
      </c>
      <c r="E14" s="65" t="n">
        <v>0.068</v>
      </c>
    </row>
    <row r="16">
      <c r="A16" s="6" t="inlineStr">
        <is>
          <t>Our target price (Rs)</t>
        </is>
      </c>
      <c r="B16" s="54">
        <f>'Valuation Summary'!D35</f>
        <v/>
      </c>
      <c r="D16" s="6" t="inlineStr">
        <is>
          <t>Recommendation</t>
        </is>
      </c>
      <c r="E16" s="66">
        <f>'Valuation Summary'!D38</f>
        <v/>
      </c>
    </row>
    <row r="19">
      <c r="A19" s="4" t="inlineStr">
        <is>
          <t>Key financials (Rs Cr)</t>
        </is>
      </c>
      <c r="B19" s="5" t="inlineStr">
        <is>
          <t>FY2021A</t>
        </is>
      </c>
      <c r="C19" s="5" t="inlineStr">
        <is>
          <t>FY2022A</t>
        </is>
      </c>
      <c r="D19" s="5" t="inlineStr">
        <is>
          <t>FY2023A</t>
        </is>
      </c>
      <c r="E19" s="5" t="inlineStr">
        <is>
          <t>FY2024A</t>
        </is>
      </c>
      <c r="F19" s="5" t="inlineStr">
        <is>
          <t>FY2025A</t>
        </is>
      </c>
      <c r="G19" s="5" t="inlineStr">
        <is>
          <t>FY2026A</t>
        </is>
      </c>
      <c r="H19" s="5" t="inlineStr">
        <is>
          <t>FY2027E</t>
        </is>
      </c>
      <c r="I19" s="5" t="inlineStr">
        <is>
          <t>FY2028E</t>
        </is>
      </c>
      <c r="J19" s="5" t="inlineStr">
        <is>
          <t>FY2029E</t>
        </is>
      </c>
      <c r="K19" s="5" t="inlineStr">
        <is>
          <t>FY2030E</t>
        </is>
      </c>
      <c r="L19" s="5" t="inlineStr">
        <is>
          <t>FY2031E</t>
        </is>
      </c>
      <c r="M19" s="5" t="inlineStr">
        <is>
          <t>FY2032E</t>
        </is>
      </c>
      <c r="N19" s="5" t="inlineStr">
        <is>
          <t>FY2033E</t>
        </is>
      </c>
    </row>
    <row r="20">
      <c r="A20" s="6" t="inlineStr">
        <is>
          <t>Revenue</t>
        </is>
      </c>
      <c r="B20" s="67">
        <f>'Profit &amp; Loss'!B4</f>
        <v/>
      </c>
      <c r="C20" s="67">
        <f>'Profit &amp; Loss'!C4</f>
        <v/>
      </c>
      <c r="D20" s="67">
        <f>'Profit &amp; Loss'!D4</f>
        <v/>
      </c>
      <c r="E20" s="67">
        <f>'Profit &amp; Loss'!E4</f>
        <v/>
      </c>
      <c r="F20" s="67">
        <f>'Profit &amp; Loss'!F4</f>
        <v/>
      </c>
      <c r="G20" s="67">
        <f>'Profit &amp; Loss'!G4</f>
        <v/>
      </c>
      <c r="H20" s="67">
        <f>'Profit &amp; Loss'!H4</f>
        <v/>
      </c>
      <c r="I20" s="67">
        <f>'Profit &amp; Loss'!I4</f>
        <v/>
      </c>
      <c r="J20" s="67">
        <f>'Profit &amp; Loss'!J4</f>
        <v/>
      </c>
      <c r="K20" s="67">
        <f>'Profit &amp; Loss'!K4</f>
        <v/>
      </c>
      <c r="L20" s="67">
        <f>'Profit &amp; Loss'!L4</f>
        <v/>
      </c>
      <c r="M20" s="67">
        <f>'Profit &amp; Loss'!M4</f>
        <v/>
      </c>
      <c r="N20" s="67">
        <f>'Profit &amp; Loss'!N4</f>
        <v/>
      </c>
    </row>
    <row r="21">
      <c r="A21" s="6" t="inlineStr">
        <is>
          <t>EBITDA</t>
        </is>
      </c>
      <c r="B21" s="67">
        <f>'Profit &amp; Loss'!B10</f>
        <v/>
      </c>
      <c r="C21" s="67">
        <f>'Profit &amp; Loss'!C10</f>
        <v/>
      </c>
      <c r="D21" s="67">
        <f>'Profit &amp; Loss'!D10</f>
        <v/>
      </c>
      <c r="E21" s="67">
        <f>'Profit &amp; Loss'!E10</f>
        <v/>
      </c>
      <c r="F21" s="67">
        <f>'Profit &amp; Loss'!F10</f>
        <v/>
      </c>
      <c r="G21" s="67">
        <f>'Profit &amp; Loss'!G10</f>
        <v/>
      </c>
      <c r="H21" s="67">
        <f>'Profit &amp; Loss'!H10</f>
        <v/>
      </c>
      <c r="I21" s="67">
        <f>'Profit &amp; Loss'!I10</f>
        <v/>
      </c>
      <c r="J21" s="67">
        <f>'Profit &amp; Loss'!J10</f>
        <v/>
      </c>
      <c r="K21" s="67">
        <f>'Profit &amp; Loss'!K10</f>
        <v/>
      </c>
      <c r="L21" s="67">
        <f>'Profit &amp; Loss'!L10</f>
        <v/>
      </c>
      <c r="M21" s="67">
        <f>'Profit &amp; Loss'!M10</f>
        <v/>
      </c>
      <c r="N21" s="67">
        <f>'Profit &amp; Loss'!N10</f>
        <v/>
      </c>
    </row>
    <row r="22">
      <c r="A22" s="11" t="inlineStr">
        <is>
          <t>EBITDA margin (%)</t>
        </is>
      </c>
      <c r="B22" s="23">
        <f>'Profit &amp; Loss'!B11</f>
        <v/>
      </c>
      <c r="C22" s="23">
        <f>'Profit &amp; Loss'!C11</f>
        <v/>
      </c>
      <c r="D22" s="23">
        <f>'Profit &amp; Loss'!D11</f>
        <v/>
      </c>
      <c r="E22" s="23">
        <f>'Profit &amp; Loss'!E11</f>
        <v/>
      </c>
      <c r="F22" s="23">
        <f>'Profit &amp; Loss'!F11</f>
        <v/>
      </c>
      <c r="G22" s="23">
        <f>'Profit &amp; Loss'!G11</f>
        <v/>
      </c>
      <c r="H22" s="23">
        <f>'Profit &amp; Loss'!H11</f>
        <v/>
      </c>
      <c r="I22" s="23">
        <f>'Profit &amp; Loss'!I11</f>
        <v/>
      </c>
      <c r="J22" s="23">
        <f>'Profit &amp; Loss'!J11</f>
        <v/>
      </c>
      <c r="K22" s="23">
        <f>'Profit &amp; Loss'!K11</f>
        <v/>
      </c>
      <c r="L22" s="23">
        <f>'Profit &amp; Loss'!L11</f>
        <v/>
      </c>
      <c r="M22" s="23">
        <f>'Profit &amp; Loss'!M11</f>
        <v/>
      </c>
      <c r="N22" s="23">
        <f>'Profit &amp; Loss'!N11</f>
        <v/>
      </c>
    </row>
    <row r="23">
      <c r="A23" s="11" t="inlineStr">
        <is>
          <t>EBIT</t>
        </is>
      </c>
      <c r="B23" s="30">
        <f>'Profit &amp; Loss'!B13</f>
        <v/>
      </c>
      <c r="C23" s="30">
        <f>'Profit &amp; Loss'!C13</f>
        <v/>
      </c>
      <c r="D23" s="30">
        <f>'Profit &amp; Loss'!D13</f>
        <v/>
      </c>
      <c r="E23" s="30">
        <f>'Profit &amp; Loss'!E13</f>
        <v/>
      </c>
      <c r="F23" s="30">
        <f>'Profit &amp; Loss'!F13</f>
        <v/>
      </c>
      <c r="G23" s="30">
        <f>'Profit &amp; Loss'!G13</f>
        <v/>
      </c>
      <c r="H23" s="30">
        <f>'Profit &amp; Loss'!H13</f>
        <v/>
      </c>
      <c r="I23" s="30">
        <f>'Profit &amp; Loss'!I13</f>
        <v/>
      </c>
      <c r="J23" s="30">
        <f>'Profit &amp; Loss'!J13</f>
        <v/>
      </c>
      <c r="K23" s="30">
        <f>'Profit &amp; Loss'!K13</f>
        <v/>
      </c>
      <c r="L23" s="30">
        <f>'Profit &amp; Loss'!L13</f>
        <v/>
      </c>
      <c r="M23" s="30">
        <f>'Profit &amp; Loss'!M13</f>
        <v/>
      </c>
      <c r="N23" s="30">
        <f>'Profit &amp; Loss'!N13</f>
        <v/>
      </c>
    </row>
    <row r="24">
      <c r="A24" s="6" t="inlineStr">
        <is>
          <t>PAT</t>
        </is>
      </c>
      <c r="B24" s="67">
        <f>'Profit &amp; Loss'!B21</f>
        <v/>
      </c>
      <c r="C24" s="67">
        <f>'Profit &amp; Loss'!C21</f>
        <v/>
      </c>
      <c r="D24" s="67">
        <f>'Profit &amp; Loss'!D21</f>
        <v/>
      </c>
      <c r="E24" s="67">
        <f>'Profit &amp; Loss'!E21</f>
        <v/>
      </c>
      <c r="F24" s="67">
        <f>'Profit &amp; Loss'!F21</f>
        <v/>
      </c>
      <c r="G24" s="67">
        <f>'Profit &amp; Loss'!G21</f>
        <v/>
      </c>
      <c r="H24" s="67">
        <f>'Profit &amp; Loss'!H21</f>
        <v/>
      </c>
      <c r="I24" s="67">
        <f>'Profit &amp; Loss'!I21</f>
        <v/>
      </c>
      <c r="J24" s="67">
        <f>'Profit &amp; Loss'!J21</f>
        <v/>
      </c>
      <c r="K24" s="67">
        <f>'Profit &amp; Loss'!K21</f>
        <v/>
      </c>
      <c r="L24" s="67">
        <f>'Profit &amp; Loss'!L21</f>
        <v/>
      </c>
      <c r="M24" s="67">
        <f>'Profit &amp; Loss'!M21</f>
        <v/>
      </c>
      <c r="N24" s="67">
        <f>'Profit &amp; Loss'!N21</f>
        <v/>
      </c>
    </row>
    <row r="25">
      <c r="A25" s="11" t="inlineStr">
        <is>
          <t>EPS (Rs)</t>
        </is>
      </c>
      <c r="B25" s="16">
        <f>'Profit &amp; Loss'!B22</f>
        <v/>
      </c>
      <c r="C25" s="16">
        <f>'Profit &amp; Loss'!C22</f>
        <v/>
      </c>
      <c r="D25" s="16">
        <f>'Profit &amp; Loss'!D22</f>
        <v/>
      </c>
      <c r="E25" s="16">
        <f>'Profit &amp; Loss'!E22</f>
        <v/>
      </c>
      <c r="F25" s="16">
        <f>'Profit &amp; Loss'!F22</f>
        <v/>
      </c>
      <c r="G25" s="16">
        <f>'Profit &amp; Loss'!G22</f>
        <v/>
      </c>
      <c r="H25" s="16">
        <f>'Profit &amp; Loss'!H22</f>
        <v/>
      </c>
      <c r="I25" s="16">
        <f>'Profit &amp; Loss'!I22</f>
        <v/>
      </c>
      <c r="J25" s="16">
        <f>'Profit &amp; Loss'!J22</f>
        <v/>
      </c>
      <c r="K25" s="16">
        <f>'Profit &amp; Loss'!K22</f>
        <v/>
      </c>
      <c r="L25" s="16">
        <f>'Profit &amp; Loss'!L22</f>
        <v/>
      </c>
      <c r="M25" s="16">
        <f>'Profit &amp; Loss'!M22</f>
        <v/>
      </c>
      <c r="N25" s="16">
        <f>'Profit &amp; Loss'!N22</f>
        <v/>
      </c>
    </row>
    <row r="26">
      <c r="A26" s="11" t="inlineStr">
        <is>
          <t>ROE (%)</t>
        </is>
      </c>
      <c r="B26" s="23">
        <f>'Ratio Analysis'!B17</f>
        <v/>
      </c>
      <c r="C26" s="23">
        <f>'Ratio Analysis'!C17</f>
        <v/>
      </c>
      <c r="D26" s="23">
        <f>'Ratio Analysis'!D17</f>
        <v/>
      </c>
      <c r="E26" s="23">
        <f>'Ratio Analysis'!E17</f>
        <v/>
      </c>
      <c r="F26" s="23">
        <f>'Ratio Analysis'!F17</f>
        <v/>
      </c>
      <c r="G26" s="23">
        <f>'Ratio Analysis'!G17</f>
        <v/>
      </c>
      <c r="H26" s="23">
        <f>'Ratio Analysis'!H17</f>
        <v/>
      </c>
      <c r="I26" s="23">
        <f>'Ratio Analysis'!I17</f>
        <v/>
      </c>
      <c r="J26" s="23">
        <f>'Ratio Analysis'!J17</f>
        <v/>
      </c>
      <c r="K26" s="23">
        <f>'Ratio Analysis'!K17</f>
        <v/>
      </c>
      <c r="L26" s="23">
        <f>'Ratio Analysis'!L17</f>
        <v/>
      </c>
      <c r="M26" s="23">
        <f>'Ratio Analysis'!M17</f>
        <v/>
      </c>
      <c r="N26" s="23">
        <f>'Ratio Analysis'!N17</f>
        <v/>
      </c>
    </row>
    <row r="27">
      <c r="A27" s="11" t="inlineStr">
        <is>
          <t>ROCE (%)</t>
        </is>
      </c>
      <c r="B27" s="23">
        <f>'Ratio Analysis'!B18</f>
        <v/>
      </c>
      <c r="C27" s="23">
        <f>'Ratio Analysis'!C18</f>
        <v/>
      </c>
      <c r="D27" s="23">
        <f>'Ratio Analysis'!D18</f>
        <v/>
      </c>
      <c r="E27" s="23">
        <f>'Ratio Analysis'!E18</f>
        <v/>
      </c>
      <c r="F27" s="23">
        <f>'Ratio Analysis'!F18</f>
        <v/>
      </c>
      <c r="G27" s="23">
        <f>'Ratio Analysis'!G18</f>
        <v/>
      </c>
      <c r="H27" s="23">
        <f>'Ratio Analysis'!H18</f>
        <v/>
      </c>
      <c r="I27" s="23">
        <f>'Ratio Analysis'!I18</f>
        <v/>
      </c>
      <c r="J27" s="23">
        <f>'Ratio Analysis'!J18</f>
        <v/>
      </c>
      <c r="K27" s="23">
        <f>'Ratio Analysis'!K18</f>
        <v/>
      </c>
      <c r="L27" s="23">
        <f>'Ratio Analysis'!L18</f>
        <v/>
      </c>
      <c r="M27" s="23">
        <f>'Ratio Analysis'!M18</f>
        <v/>
      </c>
      <c r="N27" s="23">
        <f>'Ratio Analysis'!N18</f>
        <v/>
      </c>
    </row>
    <row r="28">
      <c r="A28" s="11" t="inlineStr">
        <is>
          <t>Net debt / (cash)</t>
        </is>
      </c>
      <c r="B28" s="30">
        <f>'Working Schedules'!B28</f>
        <v/>
      </c>
      <c r="C28" s="30">
        <f>'Working Schedules'!C28</f>
        <v/>
      </c>
      <c r="D28" s="30">
        <f>'Working Schedules'!D28</f>
        <v/>
      </c>
      <c r="E28" s="30">
        <f>'Working Schedules'!E28</f>
        <v/>
      </c>
      <c r="F28" s="30">
        <f>'Working Schedules'!F28</f>
        <v/>
      </c>
      <c r="G28" s="30">
        <f>'Working Schedules'!G28</f>
        <v/>
      </c>
      <c r="H28" s="30">
        <f>'Working Schedules'!H28</f>
        <v/>
      </c>
      <c r="I28" s="30">
        <f>'Working Schedules'!I28</f>
        <v/>
      </c>
      <c r="J28" s="30">
        <f>'Working Schedules'!J28</f>
        <v/>
      </c>
      <c r="K28" s="30">
        <f>'Working Schedules'!K28</f>
        <v/>
      </c>
      <c r="L28" s="30">
        <f>'Working Schedules'!L28</f>
        <v/>
      </c>
      <c r="M28" s="30">
        <f>'Working Schedules'!M28</f>
        <v/>
      </c>
      <c r="N28" s="30">
        <f>'Working Schedules'!N28</f>
        <v/>
      </c>
    </row>
    <row r="29">
      <c r="A29" s="11" t="inlineStr">
        <is>
          <t>FCFF</t>
        </is>
      </c>
      <c r="B29" s="68" t="inlineStr"/>
      <c r="C29" s="68" t="inlineStr"/>
      <c r="D29" s="68" t="inlineStr"/>
      <c r="E29" s="68" t="inlineStr"/>
      <c r="F29" s="68" t="inlineStr"/>
      <c r="G29" s="68" t="inlineStr"/>
      <c r="H29" s="30">
        <f>DCF!B26</f>
        <v/>
      </c>
      <c r="I29" s="30">
        <f>DCF!C26</f>
        <v/>
      </c>
      <c r="J29" s="30">
        <f>DCF!D26</f>
        <v/>
      </c>
      <c r="K29" s="30">
        <f>DCF!E26</f>
        <v/>
      </c>
      <c r="L29" s="30">
        <f>DCF!F26</f>
        <v/>
      </c>
      <c r="M29" s="30">
        <f>DCF!G26</f>
        <v/>
      </c>
      <c r="N29" s="30">
        <f>DCF!H26</f>
        <v/>
      </c>
    </row>
    <row r="31">
      <c r="A31" s="18" t="inlineStr">
        <is>
          <t>Investment thesis &amp; key drivers</t>
        </is>
      </c>
      <c r="B31" s="19" t="n"/>
      <c r="C31" s="19" t="n"/>
      <c r="D31" s="19" t="n"/>
      <c r="E31" s="19" t="n"/>
      <c r="F31" s="19" t="n"/>
    </row>
    <row r="32" ht="30" customHeight="1">
      <c r="A32" s="31" t="inlineStr">
        <is>
          <t>+  Structural growth: ~15% revenue CAGR FY26-33 driven by HPP (R-32/HFOs), CDMO/CRAMS ramp (cGMP-4, MPP), agro-specialties and capacity expansion at Dahej &amp; Surat.</t>
        </is>
      </c>
    </row>
    <row r="33" ht="30" customHeight="1">
      <c r="A33" s="31" t="inlineStr">
        <is>
          <t>+  Premium franchise: scarcity value as an integrated fluorination + AHF player; high-value specialty mix lifted FY26 EBITDA margin to 32.6% and PAT 2.3x YoY.</t>
        </is>
      </c>
    </row>
    <row r="34" ht="30" customHeight="1">
      <c r="A34" s="31" t="inlineStr">
        <is>
          <t>+  Strong balance sheet: Rs750 Cr QIP (Jul-2025) funds the capex cycle; company operates near net-cash with comfortable interest cover.</t>
        </is>
      </c>
    </row>
    <row r="35" ht="30" customHeight="1">
      <c r="A35" s="31" t="inlineStr">
        <is>
          <t>-  Valuation: trades at ~58x trailing P/E and ~9.8x book; our DCF (WACC ~11.7%, g 5.5%) and peer-relative valuation both sit below the current price.</t>
        </is>
      </c>
    </row>
    <row r="36" ht="30" customHeight="1">
      <c r="A36" s="31" t="inlineStr">
        <is>
          <t>-  Risks: customer concentration in CDMO, raw-material/fluorspar pricing, refrigerant cycle, forex, and execution on large projects.</t>
        </is>
      </c>
    </row>
    <row r="37" ht="30" customHeight="1">
      <c r="A37" s="31" t="inlineStr">
        <is>
          <t>&gt;  Net view: Rating reflects rich valuation, not business quality. Fair value range Rs 4,000-5,500; accumulate on meaningful corrections.</t>
        </is>
      </c>
    </row>
  </sheetData>
  <mergeCells count="7">
    <mergeCell ref="A34:N34"/>
    <mergeCell ref="A35:N35"/>
    <mergeCell ref="A5:N7"/>
    <mergeCell ref="A33:N33"/>
    <mergeCell ref="A37:N37"/>
    <mergeCell ref="A32:N32"/>
    <mergeCell ref="A36:N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Valuation Summary (DCF + Relative)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Rs Crore / Rs per share. Combines the intrinsic FCFF DCF with peer relative valuation. Market data as of late-June 2026.</t>
        </is>
      </c>
    </row>
    <row r="4">
      <c r="A4" s="18" t="inlineStr">
        <is>
          <t>A.  DCF (FCFF) Valuation</t>
        </is>
      </c>
      <c r="B4" s="19" t="n"/>
      <c r="C4" s="19" t="n"/>
      <c r="D4" s="19" t="n"/>
    </row>
    <row r="5">
      <c r="A5" s="11" t="inlineStr">
        <is>
          <t>Enterprise value (Rs Cr)</t>
        </is>
      </c>
      <c r="B5" s="30">
        <f>DCF!B34</f>
        <v/>
      </c>
    </row>
    <row r="6">
      <c r="A6" s="11" t="inlineStr">
        <is>
          <t>Equity value (Rs Cr)</t>
        </is>
      </c>
      <c r="B6" s="30">
        <f>DCF!B36</f>
        <v/>
      </c>
    </row>
    <row r="7">
      <c r="A7" s="6" t="inlineStr">
        <is>
          <t>DCF intrinsic value per share (Rs)</t>
        </is>
      </c>
      <c r="B7" s="54">
        <f>DCF!B38</f>
        <v/>
      </c>
    </row>
    <row r="9">
      <c r="A9" s="18" t="inlineStr">
        <is>
          <t>B.  Relative Valuation - peer multiples</t>
        </is>
      </c>
      <c r="B9" s="19" t="n"/>
      <c r="C9" s="19" t="n"/>
      <c r="D9" s="19" t="n"/>
      <c r="E9" s="19" t="n"/>
      <c r="F9" s="19" t="n"/>
    </row>
    <row r="10">
      <c r="A10" s="4" t="inlineStr">
        <is>
          <t>Peer (Indian specialty chemicals)</t>
        </is>
      </c>
      <c r="B10" s="5" t="inlineStr">
        <is>
          <t>Mkt Cap (Cr)</t>
        </is>
      </c>
      <c r="C10" s="5" t="inlineStr">
        <is>
          <t>EV (Cr)</t>
        </is>
      </c>
      <c r="D10" s="5" t="inlineStr">
        <is>
          <t>P/E (x)</t>
        </is>
      </c>
      <c r="E10" s="5" t="inlineStr">
        <is>
          <t>EV/EBITDA (x)</t>
        </is>
      </c>
      <c r="F10" s="5" t="inlineStr">
        <is>
          <t>EV/Sales (x)</t>
        </is>
      </c>
    </row>
    <row r="11">
      <c r="A11" s="11" t="inlineStr">
        <is>
          <t>SRF Ltd</t>
        </is>
      </c>
      <c r="B11" s="25" t="n">
        <v>81010</v>
      </c>
      <c r="C11" s="25" t="n">
        <v>87000</v>
      </c>
      <c r="D11" s="48" t="n">
        <v>44.7</v>
      </c>
      <c r="E11" s="48" t="n">
        <v>24</v>
      </c>
      <c r="F11" s="48" t="n">
        <v>5.3</v>
      </c>
    </row>
    <row r="12">
      <c r="A12" s="11" t="inlineStr">
        <is>
          <t>PI Industries</t>
        </is>
      </c>
      <c r="B12" s="25" t="n">
        <v>46256</v>
      </c>
      <c r="C12" s="25" t="n">
        <v>42587</v>
      </c>
      <c r="D12" s="48" t="n">
        <v>31</v>
      </c>
      <c r="E12" s="48" t="n">
        <v>21</v>
      </c>
      <c r="F12" s="48" t="n">
        <v>5</v>
      </c>
    </row>
    <row r="13">
      <c r="A13" s="11" t="inlineStr">
        <is>
          <t>Gujarat Fluorochemicals</t>
        </is>
      </c>
      <c r="B13" s="25" t="n">
        <v>32000</v>
      </c>
      <c r="C13" s="25" t="n">
        <v>36000</v>
      </c>
      <c r="D13" s="48" t="n">
        <v>50</v>
      </c>
      <c r="E13" s="48" t="n">
        <v>26</v>
      </c>
      <c r="F13" s="48" t="n">
        <v>6.5</v>
      </c>
    </row>
    <row r="14">
      <c r="A14" s="11" t="inlineStr">
        <is>
          <t>Aarti Industries</t>
        </is>
      </c>
      <c r="B14" s="25" t="n">
        <v>17570</v>
      </c>
      <c r="C14" s="25" t="n">
        <v>25000</v>
      </c>
      <c r="D14" s="48" t="n">
        <v>42.6</v>
      </c>
      <c r="E14" s="48" t="n">
        <v>22</v>
      </c>
      <c r="F14" s="48" t="n">
        <v>3.2</v>
      </c>
    </row>
    <row r="15">
      <c r="A15" s="11" t="inlineStr">
        <is>
          <t>Vinati Organics</t>
        </is>
      </c>
      <c r="B15" s="25" t="n">
        <v>14174</v>
      </c>
      <c r="C15" s="25" t="n">
        <v>14000</v>
      </c>
      <c r="D15" s="48" t="n">
        <v>32.4</v>
      </c>
      <c r="E15" s="48" t="n">
        <v>22</v>
      </c>
      <c r="F15" s="48" t="n">
        <v>6</v>
      </c>
    </row>
    <row r="16">
      <c r="A16" s="6" t="inlineStr">
        <is>
          <t>Peer median</t>
        </is>
      </c>
      <c r="D16" s="52">
        <f>MEDIAN(D11:D15)</f>
        <v/>
      </c>
      <c r="E16" s="52">
        <f>MEDIAN(E11:E15)</f>
        <v/>
      </c>
      <c r="F16" s="52">
        <f>MEDIAN(F11:F15)</f>
        <v/>
      </c>
    </row>
    <row r="18">
      <c r="A18" s="18" t="inlineStr">
        <is>
          <t>Navin FY27E metrics</t>
        </is>
      </c>
      <c r="B18" s="19" t="n"/>
      <c r="C18" s="19" t="n"/>
      <c r="D18" s="19" t="n"/>
    </row>
    <row r="19">
      <c r="A19" s="11" t="inlineStr">
        <is>
          <t>FY27E EPS (Rs)</t>
        </is>
      </c>
      <c r="B19" s="16">
        <f>'Profit &amp; Loss'!H22</f>
        <v/>
      </c>
    </row>
    <row r="20">
      <c r="A20" s="11" t="inlineStr">
        <is>
          <t>FY27E EBITDA (Rs Cr)</t>
        </is>
      </c>
      <c r="B20" s="30">
        <f>'Profit &amp; Loss'!H10</f>
        <v/>
      </c>
    </row>
    <row r="21">
      <c r="A21" s="11" t="inlineStr">
        <is>
          <t>FY27E Revenue (Rs Cr)</t>
        </is>
      </c>
      <c r="B21" s="30">
        <f>'Profit &amp; Loss'!H4</f>
        <v/>
      </c>
    </row>
    <row r="22">
      <c r="A22" s="11" t="inlineStr">
        <is>
          <t>Net debt FY26 (Rs Cr)</t>
        </is>
      </c>
      <c r="B22" s="30">
        <f>'Working Schedules'!G28</f>
        <v/>
      </c>
    </row>
    <row r="23">
      <c r="A23" s="11" t="inlineStr">
        <is>
          <t>No. of shares (Cr)</t>
        </is>
      </c>
      <c r="B23" s="16">
        <f>'Working Schedules'!G23</f>
        <v/>
      </c>
    </row>
    <row r="25">
      <c r="A25" s="6" t="inlineStr">
        <is>
          <t>Implied value / share - P/E method</t>
        </is>
      </c>
      <c r="B25" s="55">
        <f>D16*B19</f>
        <v/>
      </c>
    </row>
    <row r="26">
      <c r="A26" s="6" t="inlineStr">
        <is>
          <t>Implied value / share - EV/EBITDA method</t>
        </is>
      </c>
      <c r="B26" s="55">
        <f>(E16*B20-B22)/B23</f>
        <v/>
      </c>
    </row>
    <row r="27">
      <c r="A27" s="6" t="inlineStr">
        <is>
          <t>Implied value / share - EV/Sales method</t>
        </is>
      </c>
      <c r="B27" s="55">
        <f>(F16*B21-B22)/B23</f>
        <v/>
      </c>
    </row>
    <row r="29">
      <c r="A29" s="18" t="inlineStr">
        <is>
          <t>C.  Blended Target &amp; Recommendation</t>
        </is>
      </c>
      <c r="B29" s="19" t="n"/>
      <c r="C29" s="19" t="n"/>
      <c r="D29" s="19" t="n"/>
    </row>
    <row r="30">
      <c r="A30" s="4" t="inlineStr">
        <is>
          <t>Method</t>
        </is>
      </c>
      <c r="B30" s="5" t="inlineStr">
        <is>
          <t>Value/share</t>
        </is>
      </c>
      <c r="C30" s="5" t="inlineStr">
        <is>
          <t>Weight</t>
        </is>
      </c>
      <c r="D30" s="5" t="inlineStr">
        <is>
          <t>Weighted</t>
        </is>
      </c>
    </row>
    <row r="31">
      <c r="A31" s="11" t="inlineStr">
        <is>
          <t>DCF (FCFF)</t>
        </is>
      </c>
      <c r="B31" s="56">
        <f>B7</f>
        <v/>
      </c>
      <c r="C31" s="51" t="n">
        <v>0.4</v>
      </c>
      <c r="D31" s="44">
        <f>B31*C31</f>
        <v/>
      </c>
    </row>
    <row r="32">
      <c r="A32" s="11" t="inlineStr">
        <is>
          <t>Relative - P/E</t>
        </is>
      </c>
      <c r="B32" s="56">
        <f>B25</f>
        <v/>
      </c>
      <c r="C32" s="51" t="n">
        <v>0.3</v>
      </c>
      <c r="D32" s="44">
        <f>B32*C32</f>
        <v/>
      </c>
    </row>
    <row r="33">
      <c r="A33" s="11" t="inlineStr">
        <is>
          <t>Relative - EV/EBITDA</t>
        </is>
      </c>
      <c r="B33" s="56">
        <f>B26</f>
        <v/>
      </c>
      <c r="C33" s="51" t="n">
        <v>0.2</v>
      </c>
      <c r="D33" s="44">
        <f>B33*C33</f>
        <v/>
      </c>
    </row>
    <row r="34">
      <c r="A34" s="11" t="inlineStr">
        <is>
          <t>Relative - EV/Sales</t>
        </is>
      </c>
      <c r="B34" s="56">
        <f>B27</f>
        <v/>
      </c>
      <c r="C34" s="51" t="n">
        <v>0.1</v>
      </c>
      <c r="D34" s="44">
        <f>B34*C34</f>
        <v/>
      </c>
    </row>
    <row r="35">
      <c r="A35" s="6" t="inlineStr">
        <is>
          <t>Target price (weighted, Rs)</t>
        </is>
      </c>
      <c r="D35" s="41">
        <f>SUM(D31:D34)</f>
        <v/>
      </c>
    </row>
    <row r="36">
      <c r="A36" s="11" t="inlineStr">
        <is>
          <t>Current market price (Rs)</t>
        </is>
      </c>
      <c r="D36" s="56">
        <f>DCF!B39</f>
        <v/>
      </c>
    </row>
    <row r="37">
      <c r="A37" s="6" t="inlineStr">
        <is>
          <t>Upside / (downside)</t>
        </is>
      </c>
      <c r="D37" s="37">
        <f>D35/D36-1</f>
        <v/>
      </c>
    </row>
    <row r="38">
      <c r="A38" s="6" t="inlineStr">
        <is>
          <t>Recommendation</t>
        </is>
      </c>
      <c r="D38" s="57">
        <f>IF(D37&gt;0.15,"BUY",IF(D37&gt;-0.1,"HOLD","REDUCE"))</f>
        <v/>
      </c>
    </row>
    <row r="40" ht="90" customHeight="1">
      <c r="A40" s="58" t="inlineStr">
        <is>
          <t>Conclusion: Navin Fluorine is a high-quality, structurally-growing fluorochemicals &amp; CDMO franchise, but at the current price it trades at a marked premium to both its intrinsic DCF value and peer-implied multiples (P/E ~58x). The blended fair value therefore sits below the market price, implying limited margin of safety. The premium reflects the market pricing in long-duration growth optionality (fluorination scarcity, HPP/CDMO ramp, capacity expansion). Upside risk exists if the high-growth phase sustains beyond the explicit period; downside risk if margins normalise. Rating reflects valuation, not business quality.</t>
        </is>
      </c>
    </row>
    <row r="41"/>
    <row r="42"/>
    <row r="43"/>
    <row r="44"/>
    <row r="45"/>
  </sheetData>
  <mergeCells count="1">
    <mergeCell ref="A40:N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Discounted Cash Flow (FCFF)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Rs Crore unless stated. Free Cash Flow to Firm discounted at WACC; two-stage (explicit FY27-FY33 + Gordon terminal value).</t>
        </is>
      </c>
    </row>
    <row r="4">
      <c r="A4" s="18" t="inlineStr">
        <is>
          <t>Cost of Capital (WACC)</t>
        </is>
      </c>
      <c r="B4" s="19" t="n"/>
      <c r="C4" s="19" t="n"/>
    </row>
    <row r="5">
      <c r="A5" s="11" t="inlineStr">
        <is>
          <t>Risk-free rate (Rf, India 10Y G-sec)</t>
        </is>
      </c>
      <c r="B5" s="24" t="n">
        <v>0.068</v>
      </c>
    </row>
    <row r="6">
      <c r="A6" s="11" t="inlineStr">
        <is>
          <t>Equity risk premium (ERP)</t>
        </is>
      </c>
      <c r="B6" s="24" t="n">
        <v>0.06</v>
      </c>
    </row>
    <row r="7">
      <c r="A7" s="11" t="inlineStr">
        <is>
          <t>Levered beta</t>
        </is>
      </c>
      <c r="B7" s="36">
        <f>'Beta Calculation'!B22</f>
        <v/>
      </c>
    </row>
    <row r="8">
      <c r="A8" s="11" t="inlineStr">
        <is>
          <t>Cost of equity (Ke = Rf + beta x ERP)</t>
        </is>
      </c>
      <c r="B8" s="37">
        <f>B5+B7*B6</f>
        <v/>
      </c>
    </row>
    <row r="9">
      <c r="A9" s="11" t="inlineStr">
        <is>
          <t>Pre-tax cost of debt (Kd)</t>
        </is>
      </c>
      <c r="B9" s="24" t="n">
        <v>0.075</v>
      </c>
    </row>
    <row r="10">
      <c r="A10" s="11" t="inlineStr">
        <is>
          <t>Marginal tax rate</t>
        </is>
      </c>
      <c r="B10" s="24" t="n">
        <v>0.25</v>
      </c>
    </row>
    <row r="11">
      <c r="A11" s="11" t="inlineStr">
        <is>
          <t>After-tax cost of debt = Kd x (1-tax)</t>
        </is>
      </c>
      <c r="B11" s="37">
        <f>B9*(1-B10)</f>
        <v/>
      </c>
    </row>
    <row r="12">
      <c r="A12" s="11" t="inlineStr">
        <is>
          <t>Market value of equity (Rs Cr)</t>
        </is>
      </c>
      <c r="B12" s="26" t="n">
        <v>39032</v>
      </c>
    </row>
    <row r="13">
      <c r="A13" s="11" t="inlineStr">
        <is>
          <t>Market value of debt (Rs Cr)</t>
        </is>
      </c>
      <c r="B13" s="30">
        <f>'Balance Sheet'!G18</f>
        <v/>
      </c>
    </row>
    <row r="14">
      <c r="A14" s="11" t="inlineStr">
        <is>
          <t>Weight of equity</t>
        </is>
      </c>
      <c r="B14" s="27">
        <f>B12/(B12+B13)</f>
        <v/>
      </c>
    </row>
    <row r="15">
      <c r="A15" s="11" t="inlineStr">
        <is>
          <t>Weight of debt</t>
        </is>
      </c>
      <c r="B15" s="27">
        <f>B13/(B12+B13)</f>
        <v/>
      </c>
    </row>
    <row r="16">
      <c r="A16" s="11" t="inlineStr">
        <is>
          <t>WACC</t>
        </is>
      </c>
      <c r="B16" s="38">
        <f>B14*B8+B15*B11</f>
        <v/>
      </c>
    </row>
    <row r="17">
      <c r="A17" s="11" t="inlineStr">
        <is>
          <t>Terminal growth rate (g)</t>
        </is>
      </c>
      <c r="B17" s="24" t="n">
        <v>0.055</v>
      </c>
    </row>
    <row r="19">
      <c r="A19" s="4" t="inlineStr">
        <is>
          <t>Free Cash Flow to Firm</t>
        </is>
      </c>
      <c r="B19" s="5" t="inlineStr">
        <is>
          <t>FY2027E</t>
        </is>
      </c>
      <c r="C19" s="5" t="inlineStr">
        <is>
          <t>FY2028E</t>
        </is>
      </c>
      <c r="D19" s="5" t="inlineStr">
        <is>
          <t>FY2029E</t>
        </is>
      </c>
      <c r="E19" s="5" t="inlineStr">
        <is>
          <t>FY2030E</t>
        </is>
      </c>
      <c r="F19" s="5" t="inlineStr">
        <is>
          <t>FY2031E</t>
        </is>
      </c>
      <c r="G19" s="5" t="inlineStr">
        <is>
          <t>FY2032E</t>
        </is>
      </c>
      <c r="H19" s="5" t="inlineStr">
        <is>
          <t>FY2033E</t>
        </is>
      </c>
    </row>
    <row r="20">
      <c r="A20" s="11" t="inlineStr">
        <is>
          <t>EBIT</t>
        </is>
      </c>
      <c r="B20" s="16">
        <f>'Profit &amp; Loss'!H13</f>
        <v/>
      </c>
      <c r="C20" s="16">
        <f>'Profit &amp; Loss'!I13</f>
        <v/>
      </c>
      <c r="D20" s="16">
        <f>'Profit &amp; Loss'!J13</f>
        <v/>
      </c>
      <c r="E20" s="16">
        <f>'Profit &amp; Loss'!K13</f>
        <v/>
      </c>
      <c r="F20" s="16">
        <f>'Profit &amp; Loss'!L13</f>
        <v/>
      </c>
      <c r="G20" s="16">
        <f>'Profit &amp; Loss'!M13</f>
        <v/>
      </c>
      <c r="H20" s="16">
        <f>'Profit &amp; Loss'!N13</f>
        <v/>
      </c>
    </row>
    <row r="21">
      <c r="A21" s="11" t="inlineStr">
        <is>
          <t>Less: Tax on EBIT</t>
        </is>
      </c>
      <c r="B21" s="13">
        <f>B20*$B$10</f>
        <v/>
      </c>
      <c r="C21" s="13">
        <f>C20*$B$10</f>
        <v/>
      </c>
      <c r="D21" s="13">
        <f>D20*$B$10</f>
        <v/>
      </c>
      <c r="E21" s="13">
        <f>E20*$B$10</f>
        <v/>
      </c>
      <c r="F21" s="13">
        <f>F20*$B$10</f>
        <v/>
      </c>
      <c r="G21" s="13">
        <f>G20*$B$10</f>
        <v/>
      </c>
      <c r="H21" s="13">
        <f>H20*$B$10</f>
        <v/>
      </c>
    </row>
    <row r="22">
      <c r="A22" s="11" t="inlineStr">
        <is>
          <t>NOPAT</t>
        </is>
      </c>
      <c r="B22" s="8">
        <f>B20-B21</f>
        <v/>
      </c>
      <c r="C22" s="8">
        <f>C20-C21</f>
        <v/>
      </c>
      <c r="D22" s="8">
        <f>D20-D21</f>
        <v/>
      </c>
      <c r="E22" s="8">
        <f>E20-E21</f>
        <v/>
      </c>
      <c r="F22" s="8">
        <f>F20-F21</f>
        <v/>
      </c>
      <c r="G22" s="8">
        <f>G20-G21</f>
        <v/>
      </c>
      <c r="H22" s="8">
        <f>H20-H21</f>
        <v/>
      </c>
    </row>
    <row r="23">
      <c r="A23" s="11" t="inlineStr">
        <is>
          <t>Add: Depreciation &amp; amortisation</t>
        </is>
      </c>
      <c r="B23" s="16">
        <f>'Profit &amp; Loss'!H12</f>
        <v/>
      </c>
      <c r="C23" s="16">
        <f>'Profit &amp; Loss'!I12</f>
        <v/>
      </c>
      <c r="D23" s="16">
        <f>'Profit &amp; Loss'!J12</f>
        <v/>
      </c>
      <c r="E23" s="16">
        <f>'Profit &amp; Loss'!K12</f>
        <v/>
      </c>
      <c r="F23" s="16">
        <f>'Profit &amp; Loss'!L12</f>
        <v/>
      </c>
      <c r="G23" s="16">
        <f>'Profit &amp; Loss'!M12</f>
        <v/>
      </c>
      <c r="H23" s="16">
        <f>'Profit &amp; Loss'!N12</f>
        <v/>
      </c>
    </row>
    <row r="24">
      <c r="A24" s="11" t="inlineStr">
        <is>
          <t>Less: Capital expenditure</t>
        </is>
      </c>
      <c r="B24" s="16">
        <f>Assumptions!H11</f>
        <v/>
      </c>
      <c r="C24" s="16">
        <f>Assumptions!I11</f>
        <v/>
      </c>
      <c r="D24" s="16">
        <f>Assumptions!J11</f>
        <v/>
      </c>
      <c r="E24" s="16">
        <f>Assumptions!K11</f>
        <v/>
      </c>
      <c r="F24" s="16">
        <f>Assumptions!L11</f>
        <v/>
      </c>
      <c r="G24" s="16">
        <f>Assumptions!M11</f>
        <v/>
      </c>
      <c r="H24" s="16">
        <f>Assumptions!N11</f>
        <v/>
      </c>
    </row>
    <row r="25">
      <c r="A25" s="11" t="inlineStr">
        <is>
          <t>Less: Increase in net working capital</t>
        </is>
      </c>
      <c r="B25" s="16">
        <f>'Working Capital Schedule'!H12</f>
        <v/>
      </c>
      <c r="C25" s="16">
        <f>'Working Capital Schedule'!I12</f>
        <v/>
      </c>
      <c r="D25" s="16">
        <f>'Working Capital Schedule'!J12</f>
        <v/>
      </c>
      <c r="E25" s="16">
        <f>'Working Capital Schedule'!K12</f>
        <v/>
      </c>
      <c r="F25" s="16">
        <f>'Working Capital Schedule'!L12</f>
        <v/>
      </c>
      <c r="G25" s="16">
        <f>'Working Capital Schedule'!M12</f>
        <v/>
      </c>
      <c r="H25" s="16">
        <f>'Working Capital Schedule'!N12</f>
        <v/>
      </c>
    </row>
    <row r="26">
      <c r="A26" s="11" t="inlineStr">
        <is>
          <t>Free cash flow to firm (FCFF)</t>
        </is>
      </c>
      <c r="B26" s="15">
        <f>B22+B23-B24-B25</f>
        <v/>
      </c>
      <c r="C26" s="15">
        <f>C22+C23-C24-C25</f>
        <v/>
      </c>
      <c r="D26" s="15">
        <f>D22+D23-D24-D25</f>
        <v/>
      </c>
      <c r="E26" s="15">
        <f>E22+E23-E24-E25</f>
        <v/>
      </c>
      <c r="F26" s="15">
        <f>F22+F23-F24-F25</f>
        <v/>
      </c>
      <c r="G26" s="15">
        <f>G22+G23-G24-G25</f>
        <v/>
      </c>
      <c r="H26" s="15">
        <f>H22+H23-H24-H25</f>
        <v/>
      </c>
    </row>
    <row r="27">
      <c r="A27" s="11" t="inlineStr">
        <is>
          <t>Discount period</t>
        </is>
      </c>
      <c r="B27" s="39" t="n">
        <v>1</v>
      </c>
      <c r="C27" s="39" t="n">
        <v>2</v>
      </c>
      <c r="D27" s="39" t="n">
        <v>3</v>
      </c>
      <c r="E27" s="39" t="n">
        <v>4</v>
      </c>
      <c r="F27" s="39" t="n">
        <v>5</v>
      </c>
      <c r="G27" s="39" t="n">
        <v>6</v>
      </c>
      <c r="H27" s="39" t="n">
        <v>7</v>
      </c>
    </row>
    <row r="28">
      <c r="A28" s="11" t="inlineStr">
        <is>
          <t>Discount factor</t>
        </is>
      </c>
      <c r="B28" s="40">
        <f>1/(1+$B$16)^B27</f>
        <v/>
      </c>
      <c r="C28" s="40">
        <f>1/(1+$B$16)^C27</f>
        <v/>
      </c>
      <c r="D28" s="40">
        <f>1/(1+$B$16)^D27</f>
        <v/>
      </c>
      <c r="E28" s="40">
        <f>1/(1+$B$16)^E27</f>
        <v/>
      </c>
      <c r="F28" s="40">
        <f>1/(1+$B$16)^F27</f>
        <v/>
      </c>
      <c r="G28" s="40">
        <f>1/(1+$B$16)^G27</f>
        <v/>
      </c>
      <c r="H28" s="40">
        <f>1/(1+$B$16)^H27</f>
        <v/>
      </c>
    </row>
    <row r="29">
      <c r="A29" s="11" t="inlineStr">
        <is>
          <t>PV of FCFF</t>
        </is>
      </c>
      <c r="B29" s="8">
        <f>B26*B28</f>
        <v/>
      </c>
      <c r="C29" s="8">
        <f>C26*C28</f>
        <v/>
      </c>
      <c r="D29" s="8">
        <f>D26*D28</f>
        <v/>
      </c>
      <c r="E29" s="8">
        <f>E26*E28</f>
        <v/>
      </c>
      <c r="F29" s="8">
        <f>F26*F28</f>
        <v/>
      </c>
      <c r="G29" s="8">
        <f>G26*G28</f>
        <v/>
      </c>
      <c r="H29" s="8">
        <f>H26*H28</f>
        <v/>
      </c>
    </row>
    <row r="31">
      <c r="A31" s="11" t="inlineStr">
        <is>
          <t>PV of explicit FCFF (FY27-FY33)</t>
        </is>
      </c>
      <c r="B31" s="8">
        <f>SUM(B29:H29)</f>
        <v/>
      </c>
    </row>
    <row r="32">
      <c r="A32" s="11" t="inlineStr">
        <is>
          <t>Terminal value = FCFF(FY33) x (1+g) / (WACC-g)</t>
        </is>
      </c>
      <c r="B32" s="13">
        <f>H26*(1+B17)/(B16-B17)</f>
        <v/>
      </c>
    </row>
    <row r="33">
      <c r="A33" s="11" t="inlineStr">
        <is>
          <t>PV of terminal value</t>
        </is>
      </c>
      <c r="B33" s="13">
        <f>B32*H28</f>
        <v/>
      </c>
    </row>
    <row r="34">
      <c r="A34" s="6" t="inlineStr">
        <is>
          <t>Enterprise value (EV)</t>
        </is>
      </c>
      <c r="B34" s="15">
        <f>B31+B33</f>
        <v/>
      </c>
    </row>
    <row r="35">
      <c r="A35" s="11" t="inlineStr">
        <is>
          <t>Less: Net debt (FY26)</t>
        </is>
      </c>
      <c r="B35" s="16">
        <f>'Working Schedules'!G28</f>
        <v/>
      </c>
    </row>
    <row r="36">
      <c r="A36" s="6" t="inlineStr">
        <is>
          <t>Equity value</t>
        </is>
      </c>
      <c r="B36" s="8">
        <f>B34-B35</f>
        <v/>
      </c>
    </row>
    <row r="37">
      <c r="A37" s="11" t="inlineStr">
        <is>
          <t>No. of equity shares (Cr)</t>
        </is>
      </c>
      <c r="B37" s="16">
        <f>'Working Schedules'!G23</f>
        <v/>
      </c>
    </row>
    <row r="38">
      <c r="A38" s="6" t="inlineStr">
        <is>
          <t>Intrinsic value per share (Rs)</t>
        </is>
      </c>
      <c r="B38" s="41">
        <f>B36/B37</f>
        <v/>
      </c>
    </row>
    <row r="39">
      <c r="A39" s="11" t="inlineStr">
        <is>
          <t>Current market price (Rs)</t>
        </is>
      </c>
      <c r="B39" s="42" t="n">
        <v>7609</v>
      </c>
    </row>
    <row r="40">
      <c r="A40" s="6" t="inlineStr">
        <is>
          <t>Upside / (downside)</t>
        </is>
      </c>
      <c r="B40" s="37">
        <f>B38/B39-1</f>
        <v/>
      </c>
    </row>
    <row r="41">
      <c r="A41" s="9" t="inlineStr">
        <is>
          <t>Implied terminal value as % of EV</t>
        </is>
      </c>
      <c r="B41" s="10">
        <f>B33/B34</f>
        <v/>
      </c>
    </row>
    <row r="44">
      <c r="A44" s="18" t="inlineStr">
        <is>
          <t>Sensitivity - intrinsic value per share (Rs)</t>
        </is>
      </c>
      <c r="B44" s="19" t="n"/>
      <c r="C44" s="19" t="n"/>
      <c r="D44" s="19" t="n"/>
      <c r="E44" s="19" t="n"/>
      <c r="F44" s="19" t="n"/>
      <c r="G44" s="19" t="n"/>
    </row>
    <row r="45">
      <c r="A45" s="5" t="inlineStr">
        <is>
          <t>WACC \ Terminal g</t>
        </is>
      </c>
      <c r="B45" s="43" t="n">
        <v>0.045</v>
      </c>
      <c r="C45" s="43" t="n">
        <v>0.05</v>
      </c>
      <c r="D45" s="43" t="n">
        <v>0.055</v>
      </c>
      <c r="E45" s="43" t="n">
        <v>0.06</v>
      </c>
      <c r="F45" s="43" t="n">
        <v>0.065</v>
      </c>
    </row>
    <row r="46">
      <c r="A46" s="43" t="n">
        <v>0.11</v>
      </c>
      <c r="B46" s="44">
        <f>(SUMPRODUCT($B$26:$H$26,(1+$A46)^(-$B$27:$H$27))+($H$26*(1+B$45)/($A46-B$45))*(1+$A46)^(-$H$27)-$B$35)/$B$37</f>
        <v/>
      </c>
      <c r="C46" s="44">
        <f>(SUMPRODUCT($B$26:$H$26,(1+$A46)^(-$B$27:$H$27))+($H$26*(1+C$45)/($A46-C$45))*(1+$A46)^(-$H$27)-$B$35)/$B$37</f>
        <v/>
      </c>
      <c r="D46" s="44">
        <f>(SUMPRODUCT($B$26:$H$26,(1+$A46)^(-$B$27:$H$27))+($H$26*(1+D$45)/($A46-D$45))*(1+$A46)^(-$H$27)-$B$35)/$B$37</f>
        <v/>
      </c>
      <c r="E46" s="44">
        <f>(SUMPRODUCT($B$26:$H$26,(1+$A46)^(-$B$27:$H$27))+($H$26*(1+E$45)/($A46-E$45))*(1+$A46)^(-$H$27)-$B$35)/$B$37</f>
        <v/>
      </c>
      <c r="F46" s="44">
        <f>(SUMPRODUCT($B$26:$H$26,(1+$A46)^(-$B$27:$H$27))+($H$26*(1+F$45)/($A46-F$45))*(1+$A46)^(-$H$27)-$B$35)/$B$37</f>
        <v/>
      </c>
    </row>
    <row r="47">
      <c r="A47" s="43" t="n">
        <v>0.115</v>
      </c>
      <c r="B47" s="44">
        <f>(SUMPRODUCT($B$26:$H$26,(1+$A47)^(-$B$27:$H$27))+($H$26*(1+B$45)/($A47-B$45))*(1+$A47)^(-$H$27)-$B$35)/$B$37</f>
        <v/>
      </c>
      <c r="C47" s="44">
        <f>(SUMPRODUCT($B$26:$H$26,(1+$A47)^(-$B$27:$H$27))+($H$26*(1+C$45)/($A47-C$45))*(1+$A47)^(-$H$27)-$B$35)/$B$37</f>
        <v/>
      </c>
      <c r="D47" s="44">
        <f>(SUMPRODUCT($B$26:$H$26,(1+$A47)^(-$B$27:$H$27))+($H$26*(1+D$45)/($A47-D$45))*(1+$A47)^(-$H$27)-$B$35)/$B$37</f>
        <v/>
      </c>
      <c r="E47" s="44">
        <f>(SUMPRODUCT($B$26:$H$26,(1+$A47)^(-$B$27:$H$27))+($H$26*(1+E$45)/($A47-E$45))*(1+$A47)^(-$H$27)-$B$35)/$B$37</f>
        <v/>
      </c>
      <c r="F47" s="44">
        <f>(SUMPRODUCT($B$26:$H$26,(1+$A47)^(-$B$27:$H$27))+($H$26*(1+F$45)/($A47-F$45))*(1+$A47)^(-$H$27)-$B$35)/$B$37</f>
        <v/>
      </c>
    </row>
    <row r="48">
      <c r="A48" s="43" t="n">
        <v>0.12</v>
      </c>
      <c r="B48" s="44">
        <f>(SUMPRODUCT($B$26:$H$26,(1+$A48)^(-$B$27:$H$27))+($H$26*(1+B$45)/($A48-B$45))*(1+$A48)^(-$H$27)-$B$35)/$B$37</f>
        <v/>
      </c>
      <c r="C48" s="44">
        <f>(SUMPRODUCT($B$26:$H$26,(1+$A48)^(-$B$27:$H$27))+($H$26*(1+C$45)/($A48-C$45))*(1+$A48)^(-$H$27)-$B$35)/$B$37</f>
        <v/>
      </c>
      <c r="D48" s="44">
        <f>(SUMPRODUCT($B$26:$H$26,(1+$A48)^(-$B$27:$H$27))+($H$26*(1+D$45)/($A48-D$45))*(1+$A48)^(-$H$27)-$B$35)/$B$37</f>
        <v/>
      </c>
      <c r="E48" s="44">
        <f>(SUMPRODUCT($B$26:$H$26,(1+$A48)^(-$B$27:$H$27))+($H$26*(1+E$45)/($A48-E$45))*(1+$A48)^(-$H$27)-$B$35)/$B$37</f>
        <v/>
      </c>
      <c r="F48" s="44">
        <f>(SUMPRODUCT($B$26:$H$26,(1+$A48)^(-$B$27:$H$27))+($H$26*(1+F$45)/($A48-F$45))*(1+$A48)^(-$H$27)-$B$35)/$B$37</f>
        <v/>
      </c>
    </row>
    <row r="49">
      <c r="A49" s="43" t="n">
        <v>0.125</v>
      </c>
      <c r="B49" s="44">
        <f>(SUMPRODUCT($B$26:$H$26,(1+$A49)^(-$B$27:$H$27))+($H$26*(1+B$45)/($A49-B$45))*(1+$A49)^(-$H$27)-$B$35)/$B$37</f>
        <v/>
      </c>
      <c r="C49" s="44">
        <f>(SUMPRODUCT($B$26:$H$26,(1+$A49)^(-$B$27:$H$27))+($H$26*(1+C$45)/($A49-C$45))*(1+$A49)^(-$H$27)-$B$35)/$B$37</f>
        <v/>
      </c>
      <c r="D49" s="44">
        <f>(SUMPRODUCT($B$26:$H$26,(1+$A49)^(-$B$27:$H$27))+($H$26*(1+D$45)/($A49-D$45))*(1+$A49)^(-$H$27)-$B$35)/$B$37</f>
        <v/>
      </c>
      <c r="E49" s="44">
        <f>(SUMPRODUCT($B$26:$H$26,(1+$A49)^(-$B$27:$H$27))+($H$26*(1+E$45)/($A49-E$45))*(1+$A49)^(-$H$27)-$B$35)/$B$37</f>
        <v/>
      </c>
      <c r="F49" s="44">
        <f>(SUMPRODUCT($B$26:$H$26,(1+$A49)^(-$B$27:$H$27))+($H$26*(1+F$45)/($A49-F$45))*(1+$A49)^(-$H$27)-$B$35)/$B$37</f>
        <v/>
      </c>
    </row>
    <row r="50">
      <c r="A50" s="43" t="n">
        <v>0.13</v>
      </c>
      <c r="B50" s="44">
        <f>(SUMPRODUCT($B$26:$H$26,(1+$A50)^(-$B$27:$H$27))+($H$26*(1+B$45)/($A50-B$45))*(1+$A50)^(-$H$27)-$B$35)/$B$37</f>
        <v/>
      </c>
      <c r="C50" s="44">
        <f>(SUMPRODUCT($B$26:$H$26,(1+$A50)^(-$B$27:$H$27))+($H$26*(1+C$45)/($A50-C$45))*(1+$A50)^(-$H$27)-$B$35)/$B$37</f>
        <v/>
      </c>
      <c r="D50" s="44">
        <f>(SUMPRODUCT($B$26:$H$26,(1+$A50)^(-$B$27:$H$27))+($H$26*(1+D$45)/($A50-D$45))*(1+$A50)^(-$H$27)-$B$35)/$B$37</f>
        <v/>
      </c>
      <c r="E50" s="44">
        <f>(SUMPRODUCT($B$26:$H$26,(1+$A50)^(-$B$27:$H$27))+($H$26*(1+E$45)/($A50-E$45))*(1+$A50)^(-$H$27)-$B$35)/$B$37</f>
        <v/>
      </c>
      <c r="F50" s="44">
        <f>(SUMPRODUCT($B$26:$H$26,(1+$A50)^(-$B$27:$H$27))+($H$26*(1+F$45)/($A50-F$45))*(1+$A50)^(-$H$27)-$B$35)/$B$37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Ratio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Historical and forecast ratios. All figures derived from the integrated statements (links shown in green).</t>
        </is>
      </c>
    </row>
    <row r="3" ht="16" customHeight="1">
      <c r="A3" s="4" t="inlineStr">
        <is>
          <t>Particulars</t>
        </is>
      </c>
      <c r="B3" s="5" t="inlineStr">
        <is>
          <t>FY2021A</t>
        </is>
      </c>
      <c r="C3" s="5" t="inlineStr">
        <is>
          <t>FY2022A</t>
        </is>
      </c>
      <c r="D3" s="5" t="inlineStr">
        <is>
          <t>FY2023A</t>
        </is>
      </c>
      <c r="E3" s="5" t="inlineStr">
        <is>
          <t>FY2024A</t>
        </is>
      </c>
      <c r="F3" s="5" t="inlineStr">
        <is>
          <t>FY2025A</t>
        </is>
      </c>
      <c r="G3" s="5" t="inlineStr">
        <is>
          <t>FY2026A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  <c r="L3" s="5" t="inlineStr">
        <is>
          <t>FY2031E</t>
        </is>
      </c>
      <c r="M3" s="5" t="inlineStr">
        <is>
          <t>FY2032E</t>
        </is>
      </c>
      <c r="N3" s="5" t="inlineStr">
        <is>
          <t>FY2033E</t>
        </is>
      </c>
    </row>
    <row r="4">
      <c r="A4" s="18" t="inlineStr">
        <is>
          <t>Growth (%)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</row>
    <row r="5">
      <c r="A5" s="11" t="inlineStr">
        <is>
          <t>Revenue growth</t>
        </is>
      </c>
      <c r="C5" s="23">
        <f>IF('Profit &amp; Loss'!B4=0,"",'Profit &amp; Loss'!C4/'Profit &amp; Loss'!B4-1)</f>
        <v/>
      </c>
      <c r="D5" s="23">
        <f>IF('Profit &amp; Loss'!C4=0,"",'Profit &amp; Loss'!D4/'Profit &amp; Loss'!C4-1)</f>
        <v/>
      </c>
      <c r="E5" s="23">
        <f>IF('Profit &amp; Loss'!D4=0,"",'Profit &amp; Loss'!E4/'Profit &amp; Loss'!D4-1)</f>
        <v/>
      </c>
      <c r="F5" s="23">
        <f>IF('Profit &amp; Loss'!E4=0,"",'Profit &amp; Loss'!F4/'Profit &amp; Loss'!E4-1)</f>
        <v/>
      </c>
      <c r="G5" s="23">
        <f>IF('Profit &amp; Loss'!F4=0,"",'Profit &amp; Loss'!G4/'Profit &amp; Loss'!F4-1)</f>
        <v/>
      </c>
      <c r="H5" s="23">
        <f>IF('Profit &amp; Loss'!G4=0,"",'Profit &amp; Loss'!H4/'Profit &amp; Loss'!G4-1)</f>
        <v/>
      </c>
      <c r="I5" s="23">
        <f>IF('Profit &amp; Loss'!H4=0,"",'Profit &amp; Loss'!I4/'Profit &amp; Loss'!H4-1)</f>
        <v/>
      </c>
      <c r="J5" s="23">
        <f>IF('Profit &amp; Loss'!I4=0,"",'Profit &amp; Loss'!J4/'Profit &amp; Loss'!I4-1)</f>
        <v/>
      </c>
      <c r="K5" s="23">
        <f>IF('Profit &amp; Loss'!J4=0,"",'Profit &amp; Loss'!K4/'Profit &amp; Loss'!J4-1)</f>
        <v/>
      </c>
      <c r="L5" s="23">
        <f>IF('Profit &amp; Loss'!K4=0,"",'Profit &amp; Loss'!L4/'Profit &amp; Loss'!K4-1)</f>
        <v/>
      </c>
      <c r="M5" s="23">
        <f>IF('Profit &amp; Loss'!L4=0,"",'Profit &amp; Loss'!M4/'Profit &amp; Loss'!L4-1)</f>
        <v/>
      </c>
      <c r="N5" s="23">
        <f>IF('Profit &amp; Loss'!M4=0,"",'Profit &amp; Loss'!N4/'Profit &amp; Loss'!M4-1)</f>
        <v/>
      </c>
    </row>
    <row r="6">
      <c r="A6" s="11" t="inlineStr">
        <is>
          <t>EBITDA growth</t>
        </is>
      </c>
      <c r="C6" s="23">
        <f>IF('Profit &amp; Loss'!B10=0,"",'Profit &amp; Loss'!C10/'Profit &amp; Loss'!B10-1)</f>
        <v/>
      </c>
      <c r="D6" s="23">
        <f>IF('Profit &amp; Loss'!C10=0,"",'Profit &amp; Loss'!D10/'Profit &amp; Loss'!C10-1)</f>
        <v/>
      </c>
      <c r="E6" s="23">
        <f>IF('Profit &amp; Loss'!D10=0,"",'Profit &amp; Loss'!E10/'Profit &amp; Loss'!D10-1)</f>
        <v/>
      </c>
      <c r="F6" s="23">
        <f>IF('Profit &amp; Loss'!E10=0,"",'Profit &amp; Loss'!F10/'Profit &amp; Loss'!E10-1)</f>
        <v/>
      </c>
      <c r="G6" s="23">
        <f>IF('Profit &amp; Loss'!F10=0,"",'Profit &amp; Loss'!G10/'Profit &amp; Loss'!F10-1)</f>
        <v/>
      </c>
      <c r="H6" s="23">
        <f>IF('Profit &amp; Loss'!G10=0,"",'Profit &amp; Loss'!H10/'Profit &amp; Loss'!G10-1)</f>
        <v/>
      </c>
      <c r="I6" s="23">
        <f>IF('Profit &amp; Loss'!H10=0,"",'Profit &amp; Loss'!I10/'Profit &amp; Loss'!H10-1)</f>
        <v/>
      </c>
      <c r="J6" s="23">
        <f>IF('Profit &amp; Loss'!I10=0,"",'Profit &amp; Loss'!J10/'Profit &amp; Loss'!I10-1)</f>
        <v/>
      </c>
      <c r="K6" s="23">
        <f>IF('Profit &amp; Loss'!J10=0,"",'Profit &amp; Loss'!K10/'Profit &amp; Loss'!J10-1)</f>
        <v/>
      </c>
      <c r="L6" s="23">
        <f>IF('Profit &amp; Loss'!K10=0,"",'Profit &amp; Loss'!L10/'Profit &amp; Loss'!K10-1)</f>
        <v/>
      </c>
      <c r="M6" s="23">
        <f>IF('Profit &amp; Loss'!L10=0,"",'Profit &amp; Loss'!M10/'Profit &amp; Loss'!L10-1)</f>
        <v/>
      </c>
      <c r="N6" s="23">
        <f>IF('Profit &amp; Loss'!M10=0,"",'Profit &amp; Loss'!N10/'Profit &amp; Loss'!M10-1)</f>
        <v/>
      </c>
    </row>
    <row r="7">
      <c r="A7" s="11" t="inlineStr">
        <is>
          <t>EBIT growth</t>
        </is>
      </c>
      <c r="C7" s="23">
        <f>IF('Profit &amp; Loss'!B13=0,"",'Profit &amp; Loss'!C13/'Profit &amp; Loss'!B13-1)</f>
        <v/>
      </c>
      <c r="D7" s="23">
        <f>IF('Profit &amp; Loss'!C13=0,"",'Profit &amp; Loss'!D13/'Profit &amp; Loss'!C13-1)</f>
        <v/>
      </c>
      <c r="E7" s="23">
        <f>IF('Profit &amp; Loss'!D13=0,"",'Profit &amp; Loss'!E13/'Profit &amp; Loss'!D13-1)</f>
        <v/>
      </c>
      <c r="F7" s="23">
        <f>IF('Profit &amp; Loss'!E13=0,"",'Profit &amp; Loss'!F13/'Profit &amp; Loss'!E13-1)</f>
        <v/>
      </c>
      <c r="G7" s="23">
        <f>IF('Profit &amp; Loss'!F13=0,"",'Profit &amp; Loss'!G13/'Profit &amp; Loss'!F13-1)</f>
        <v/>
      </c>
      <c r="H7" s="23">
        <f>IF('Profit &amp; Loss'!G13=0,"",'Profit &amp; Loss'!H13/'Profit &amp; Loss'!G13-1)</f>
        <v/>
      </c>
      <c r="I7" s="23">
        <f>IF('Profit &amp; Loss'!H13=0,"",'Profit &amp; Loss'!I13/'Profit &amp; Loss'!H13-1)</f>
        <v/>
      </c>
      <c r="J7" s="23">
        <f>IF('Profit &amp; Loss'!I13=0,"",'Profit &amp; Loss'!J13/'Profit &amp; Loss'!I13-1)</f>
        <v/>
      </c>
      <c r="K7" s="23">
        <f>IF('Profit &amp; Loss'!J13=0,"",'Profit &amp; Loss'!K13/'Profit &amp; Loss'!J13-1)</f>
        <v/>
      </c>
      <c r="L7" s="23">
        <f>IF('Profit &amp; Loss'!K13=0,"",'Profit &amp; Loss'!L13/'Profit &amp; Loss'!K13-1)</f>
        <v/>
      </c>
      <c r="M7" s="23">
        <f>IF('Profit &amp; Loss'!L13=0,"",'Profit &amp; Loss'!M13/'Profit &amp; Loss'!L13-1)</f>
        <v/>
      </c>
      <c r="N7" s="23">
        <f>IF('Profit &amp; Loss'!M13=0,"",'Profit &amp; Loss'!N13/'Profit &amp; Loss'!M13-1)</f>
        <v/>
      </c>
    </row>
    <row r="8">
      <c r="A8" s="11" t="inlineStr">
        <is>
          <t>PAT growth</t>
        </is>
      </c>
      <c r="C8" s="23">
        <f>IF('Profit &amp; Loss'!B21=0,"",'Profit &amp; Loss'!C21/'Profit &amp; Loss'!B21-1)</f>
        <v/>
      </c>
      <c r="D8" s="23">
        <f>IF('Profit &amp; Loss'!C21=0,"",'Profit &amp; Loss'!D21/'Profit &amp; Loss'!C21-1)</f>
        <v/>
      </c>
      <c r="E8" s="23">
        <f>IF('Profit &amp; Loss'!D21=0,"",'Profit &amp; Loss'!E21/'Profit &amp; Loss'!D21-1)</f>
        <v/>
      </c>
      <c r="F8" s="23">
        <f>IF('Profit &amp; Loss'!E21=0,"",'Profit &amp; Loss'!F21/'Profit &amp; Loss'!E21-1)</f>
        <v/>
      </c>
      <c r="G8" s="23">
        <f>IF('Profit &amp; Loss'!F21=0,"",'Profit &amp; Loss'!G21/'Profit &amp; Loss'!F21-1)</f>
        <v/>
      </c>
      <c r="H8" s="23">
        <f>IF('Profit &amp; Loss'!G21=0,"",'Profit &amp; Loss'!H21/'Profit &amp; Loss'!G21-1)</f>
        <v/>
      </c>
      <c r="I8" s="23">
        <f>IF('Profit &amp; Loss'!H21=0,"",'Profit &amp; Loss'!I21/'Profit &amp; Loss'!H21-1)</f>
        <v/>
      </c>
      <c r="J8" s="23">
        <f>IF('Profit &amp; Loss'!I21=0,"",'Profit &amp; Loss'!J21/'Profit &amp; Loss'!I21-1)</f>
        <v/>
      </c>
      <c r="K8" s="23">
        <f>IF('Profit &amp; Loss'!J21=0,"",'Profit &amp; Loss'!K21/'Profit &amp; Loss'!J21-1)</f>
        <v/>
      </c>
      <c r="L8" s="23">
        <f>IF('Profit &amp; Loss'!K21=0,"",'Profit &amp; Loss'!L21/'Profit &amp; Loss'!K21-1)</f>
        <v/>
      </c>
      <c r="M8" s="23">
        <f>IF('Profit &amp; Loss'!L21=0,"",'Profit &amp; Loss'!M21/'Profit &amp; Loss'!L21-1)</f>
        <v/>
      </c>
      <c r="N8" s="23">
        <f>IF('Profit &amp; Loss'!M21=0,"",'Profit &amp; Loss'!N21/'Profit &amp; Loss'!M21-1)</f>
        <v/>
      </c>
    </row>
    <row r="10">
      <c r="A10" s="18" t="inlineStr">
        <is>
          <t>Profitability margins (%)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</row>
    <row r="11">
      <c r="A11" s="11" t="inlineStr">
        <is>
          <t>Gross margin</t>
        </is>
      </c>
      <c r="B11" s="23">
        <f>('Profit &amp; Loss'!B4-'Profit &amp; Loss'!B6)/'Profit &amp; Loss'!B4</f>
        <v/>
      </c>
      <c r="C11" s="23">
        <f>('Profit &amp; Loss'!C4-'Profit &amp; Loss'!C6)/'Profit &amp; Loss'!C4</f>
        <v/>
      </c>
      <c r="D11" s="23">
        <f>('Profit &amp; Loss'!D4-'Profit &amp; Loss'!D6)/'Profit &amp; Loss'!D4</f>
        <v/>
      </c>
      <c r="E11" s="23">
        <f>('Profit &amp; Loss'!E4-'Profit &amp; Loss'!E6)/'Profit &amp; Loss'!E4</f>
        <v/>
      </c>
      <c r="F11" s="23">
        <f>('Profit &amp; Loss'!F4-'Profit &amp; Loss'!F6)/'Profit &amp; Loss'!F4</f>
        <v/>
      </c>
      <c r="G11" s="23">
        <f>('Profit &amp; Loss'!G4-'Profit &amp; Loss'!G6)/'Profit &amp; Loss'!G4</f>
        <v/>
      </c>
      <c r="H11" s="23">
        <f>('Profit &amp; Loss'!H4-'Profit &amp; Loss'!H6)/'Profit &amp; Loss'!H4</f>
        <v/>
      </c>
      <c r="I11" s="23">
        <f>('Profit &amp; Loss'!I4-'Profit &amp; Loss'!I6)/'Profit &amp; Loss'!I4</f>
        <v/>
      </c>
      <c r="J11" s="23">
        <f>('Profit &amp; Loss'!J4-'Profit &amp; Loss'!J6)/'Profit &amp; Loss'!J4</f>
        <v/>
      </c>
      <c r="K11" s="23">
        <f>('Profit &amp; Loss'!K4-'Profit &amp; Loss'!K6)/'Profit &amp; Loss'!K4</f>
        <v/>
      </c>
      <c r="L11" s="23">
        <f>('Profit &amp; Loss'!L4-'Profit &amp; Loss'!L6)/'Profit &amp; Loss'!L4</f>
        <v/>
      </c>
      <c r="M11" s="23">
        <f>('Profit &amp; Loss'!M4-'Profit &amp; Loss'!M6)/'Profit &amp; Loss'!M4</f>
        <v/>
      </c>
      <c r="N11" s="23">
        <f>('Profit &amp; Loss'!N4-'Profit &amp; Loss'!N6)/'Profit &amp; Loss'!N4</f>
        <v/>
      </c>
    </row>
    <row r="12">
      <c r="A12" s="11" t="inlineStr">
        <is>
          <t>EBITDA margin</t>
        </is>
      </c>
      <c r="B12" s="23">
        <f>'Profit &amp; Loss'!B10/'Profit &amp; Loss'!B4</f>
        <v/>
      </c>
      <c r="C12" s="23">
        <f>'Profit &amp; Loss'!C10/'Profit &amp; Loss'!C4</f>
        <v/>
      </c>
      <c r="D12" s="23">
        <f>'Profit &amp; Loss'!D10/'Profit &amp; Loss'!D4</f>
        <v/>
      </c>
      <c r="E12" s="23">
        <f>'Profit &amp; Loss'!E10/'Profit &amp; Loss'!E4</f>
        <v/>
      </c>
      <c r="F12" s="23">
        <f>'Profit &amp; Loss'!F10/'Profit &amp; Loss'!F4</f>
        <v/>
      </c>
      <c r="G12" s="23">
        <f>'Profit &amp; Loss'!G10/'Profit &amp; Loss'!G4</f>
        <v/>
      </c>
      <c r="H12" s="23">
        <f>'Profit &amp; Loss'!H10/'Profit &amp; Loss'!H4</f>
        <v/>
      </c>
      <c r="I12" s="23">
        <f>'Profit &amp; Loss'!I10/'Profit &amp; Loss'!I4</f>
        <v/>
      </c>
      <c r="J12" s="23">
        <f>'Profit &amp; Loss'!J10/'Profit &amp; Loss'!J4</f>
        <v/>
      </c>
      <c r="K12" s="23">
        <f>'Profit &amp; Loss'!K10/'Profit &amp; Loss'!K4</f>
        <v/>
      </c>
      <c r="L12" s="23">
        <f>'Profit &amp; Loss'!L10/'Profit &amp; Loss'!L4</f>
        <v/>
      </c>
      <c r="M12" s="23">
        <f>'Profit &amp; Loss'!M10/'Profit &amp; Loss'!M4</f>
        <v/>
      </c>
      <c r="N12" s="23">
        <f>'Profit &amp; Loss'!N10/'Profit &amp; Loss'!N4</f>
        <v/>
      </c>
    </row>
    <row r="13">
      <c r="A13" s="11" t="inlineStr">
        <is>
          <t>EBIT margin</t>
        </is>
      </c>
      <c r="B13" s="23">
        <f>'Profit &amp; Loss'!B13/'Profit &amp; Loss'!B4</f>
        <v/>
      </c>
      <c r="C13" s="23">
        <f>'Profit &amp; Loss'!C13/'Profit &amp; Loss'!C4</f>
        <v/>
      </c>
      <c r="D13" s="23">
        <f>'Profit &amp; Loss'!D13/'Profit &amp; Loss'!D4</f>
        <v/>
      </c>
      <c r="E13" s="23">
        <f>'Profit &amp; Loss'!E13/'Profit &amp; Loss'!E4</f>
        <v/>
      </c>
      <c r="F13" s="23">
        <f>'Profit &amp; Loss'!F13/'Profit &amp; Loss'!F4</f>
        <v/>
      </c>
      <c r="G13" s="23">
        <f>'Profit &amp; Loss'!G13/'Profit &amp; Loss'!G4</f>
        <v/>
      </c>
      <c r="H13" s="23">
        <f>'Profit &amp; Loss'!H13/'Profit &amp; Loss'!H4</f>
        <v/>
      </c>
      <c r="I13" s="23">
        <f>'Profit &amp; Loss'!I13/'Profit &amp; Loss'!I4</f>
        <v/>
      </c>
      <c r="J13" s="23">
        <f>'Profit &amp; Loss'!J13/'Profit &amp; Loss'!J4</f>
        <v/>
      </c>
      <c r="K13" s="23">
        <f>'Profit &amp; Loss'!K13/'Profit &amp; Loss'!K4</f>
        <v/>
      </c>
      <c r="L13" s="23">
        <f>'Profit &amp; Loss'!L13/'Profit &amp; Loss'!L4</f>
        <v/>
      </c>
      <c r="M13" s="23">
        <f>'Profit &amp; Loss'!M13/'Profit &amp; Loss'!M4</f>
        <v/>
      </c>
      <c r="N13" s="23">
        <f>'Profit &amp; Loss'!N13/'Profit &amp; Loss'!N4</f>
        <v/>
      </c>
    </row>
    <row r="14">
      <c r="A14" s="11" t="inlineStr">
        <is>
          <t>PAT margin</t>
        </is>
      </c>
      <c r="B14" s="23">
        <f>'Profit &amp; Loss'!B21/'Profit &amp; Loss'!B4</f>
        <v/>
      </c>
      <c r="C14" s="23">
        <f>'Profit &amp; Loss'!C21/'Profit &amp; Loss'!C4</f>
        <v/>
      </c>
      <c r="D14" s="23">
        <f>'Profit &amp; Loss'!D21/'Profit &amp; Loss'!D4</f>
        <v/>
      </c>
      <c r="E14" s="23">
        <f>'Profit &amp; Loss'!E21/'Profit &amp; Loss'!E4</f>
        <v/>
      </c>
      <c r="F14" s="23">
        <f>'Profit &amp; Loss'!F21/'Profit &amp; Loss'!F4</f>
        <v/>
      </c>
      <c r="G14" s="23">
        <f>'Profit &amp; Loss'!G21/'Profit &amp; Loss'!G4</f>
        <v/>
      </c>
      <c r="H14" s="23">
        <f>'Profit &amp; Loss'!H21/'Profit &amp; Loss'!H4</f>
        <v/>
      </c>
      <c r="I14" s="23">
        <f>'Profit &amp; Loss'!I21/'Profit &amp; Loss'!I4</f>
        <v/>
      </c>
      <c r="J14" s="23">
        <f>'Profit &amp; Loss'!J21/'Profit &amp; Loss'!J4</f>
        <v/>
      </c>
      <c r="K14" s="23">
        <f>'Profit &amp; Loss'!K21/'Profit &amp; Loss'!K4</f>
        <v/>
      </c>
      <c r="L14" s="23">
        <f>'Profit &amp; Loss'!L21/'Profit &amp; Loss'!L4</f>
        <v/>
      </c>
      <c r="M14" s="23">
        <f>'Profit &amp; Loss'!M21/'Profit &amp; Loss'!M4</f>
        <v/>
      </c>
      <c r="N14" s="23">
        <f>'Profit &amp; Loss'!N21/'Profit &amp; Loss'!N4</f>
        <v/>
      </c>
    </row>
    <row r="16">
      <c r="A16" s="18" t="inlineStr">
        <is>
          <t>Return ratios (%)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</row>
    <row r="17">
      <c r="A17" s="11" t="inlineStr">
        <is>
          <t>Return on equity (ROE)</t>
        </is>
      </c>
      <c r="B17" s="23">
        <f>'Profit &amp; Loss'!B21/('Balance Sheet'!B16+'Balance Sheet'!B17)</f>
        <v/>
      </c>
      <c r="C17" s="23">
        <f>'Profit &amp; Loss'!C21/((('Balance Sheet'!C16+'Balance Sheet'!C17)+('Balance Sheet'!B16+'Balance Sheet'!B17))/2)</f>
        <v/>
      </c>
      <c r="D17" s="23">
        <f>'Profit &amp; Loss'!D21/((('Balance Sheet'!D16+'Balance Sheet'!D17)+('Balance Sheet'!C16+'Balance Sheet'!C17))/2)</f>
        <v/>
      </c>
      <c r="E17" s="23">
        <f>'Profit &amp; Loss'!E21/((('Balance Sheet'!E16+'Balance Sheet'!E17)+('Balance Sheet'!D16+'Balance Sheet'!D17))/2)</f>
        <v/>
      </c>
      <c r="F17" s="23">
        <f>'Profit &amp; Loss'!F21/((('Balance Sheet'!F16+'Balance Sheet'!F17)+('Balance Sheet'!E16+'Balance Sheet'!E17))/2)</f>
        <v/>
      </c>
      <c r="G17" s="23">
        <f>'Profit &amp; Loss'!G21/((('Balance Sheet'!G16+'Balance Sheet'!G17)+('Balance Sheet'!F16+'Balance Sheet'!F17))/2)</f>
        <v/>
      </c>
      <c r="H17" s="23">
        <f>'Profit &amp; Loss'!H21/((('Balance Sheet'!H16+'Balance Sheet'!H17)+('Balance Sheet'!G16+'Balance Sheet'!G17))/2)</f>
        <v/>
      </c>
      <c r="I17" s="23">
        <f>'Profit &amp; Loss'!I21/((('Balance Sheet'!I16+'Balance Sheet'!I17)+('Balance Sheet'!H16+'Balance Sheet'!H17))/2)</f>
        <v/>
      </c>
      <c r="J17" s="23">
        <f>'Profit &amp; Loss'!J21/((('Balance Sheet'!J16+'Balance Sheet'!J17)+('Balance Sheet'!I16+'Balance Sheet'!I17))/2)</f>
        <v/>
      </c>
      <c r="K17" s="23">
        <f>'Profit &amp; Loss'!K21/((('Balance Sheet'!K16+'Balance Sheet'!K17)+('Balance Sheet'!J16+'Balance Sheet'!J17))/2)</f>
        <v/>
      </c>
      <c r="L17" s="23">
        <f>'Profit &amp; Loss'!L21/((('Balance Sheet'!L16+'Balance Sheet'!L17)+('Balance Sheet'!K16+'Balance Sheet'!K17))/2)</f>
        <v/>
      </c>
      <c r="M17" s="23">
        <f>'Profit &amp; Loss'!M21/((('Balance Sheet'!M16+'Balance Sheet'!M17)+('Balance Sheet'!L16+'Balance Sheet'!L17))/2)</f>
        <v/>
      </c>
      <c r="N17" s="23">
        <f>'Profit &amp; Loss'!N21/((('Balance Sheet'!N16+'Balance Sheet'!N17)+('Balance Sheet'!M16+'Balance Sheet'!M17))/2)</f>
        <v/>
      </c>
    </row>
    <row r="18">
      <c r="A18" s="11" t="inlineStr">
        <is>
          <t>Return on capital employed (ROCE)</t>
        </is>
      </c>
      <c r="B18" s="23">
        <f>'Profit &amp; Loss'!B13/('Balance Sheet'!B16+'Balance Sheet'!B17+'Balance Sheet'!B18)</f>
        <v/>
      </c>
      <c r="C18" s="23">
        <f>'Profit &amp; Loss'!C13/((('Balance Sheet'!C16+'Balance Sheet'!C17+'Balance Sheet'!C18)+('Balance Sheet'!B16+'Balance Sheet'!B17+'Balance Sheet'!B18))/2)</f>
        <v/>
      </c>
      <c r="D18" s="23">
        <f>'Profit &amp; Loss'!D13/((('Balance Sheet'!D16+'Balance Sheet'!D17+'Balance Sheet'!D18)+('Balance Sheet'!C16+'Balance Sheet'!C17+'Balance Sheet'!C18))/2)</f>
        <v/>
      </c>
      <c r="E18" s="23">
        <f>'Profit &amp; Loss'!E13/((('Balance Sheet'!E16+'Balance Sheet'!E17+'Balance Sheet'!E18)+('Balance Sheet'!D16+'Balance Sheet'!D17+'Balance Sheet'!D18))/2)</f>
        <v/>
      </c>
      <c r="F18" s="23">
        <f>'Profit &amp; Loss'!F13/((('Balance Sheet'!F16+'Balance Sheet'!F17+'Balance Sheet'!F18)+('Balance Sheet'!E16+'Balance Sheet'!E17+'Balance Sheet'!E18))/2)</f>
        <v/>
      </c>
      <c r="G18" s="23">
        <f>'Profit &amp; Loss'!G13/((('Balance Sheet'!G16+'Balance Sheet'!G17+'Balance Sheet'!G18)+('Balance Sheet'!F16+'Balance Sheet'!F17+'Balance Sheet'!F18))/2)</f>
        <v/>
      </c>
      <c r="H18" s="23">
        <f>'Profit &amp; Loss'!H13/((('Balance Sheet'!H16+'Balance Sheet'!H17+'Balance Sheet'!H18)+('Balance Sheet'!G16+'Balance Sheet'!G17+'Balance Sheet'!G18))/2)</f>
        <v/>
      </c>
      <c r="I18" s="23">
        <f>'Profit &amp; Loss'!I13/((('Balance Sheet'!I16+'Balance Sheet'!I17+'Balance Sheet'!I18)+('Balance Sheet'!H16+'Balance Sheet'!H17+'Balance Sheet'!H18))/2)</f>
        <v/>
      </c>
      <c r="J18" s="23">
        <f>'Profit &amp; Loss'!J13/((('Balance Sheet'!J16+'Balance Sheet'!J17+'Balance Sheet'!J18)+('Balance Sheet'!I16+'Balance Sheet'!I17+'Balance Sheet'!I18))/2)</f>
        <v/>
      </c>
      <c r="K18" s="23">
        <f>'Profit &amp; Loss'!K13/((('Balance Sheet'!K16+'Balance Sheet'!K17+'Balance Sheet'!K18)+('Balance Sheet'!J16+'Balance Sheet'!J17+'Balance Sheet'!J18))/2)</f>
        <v/>
      </c>
      <c r="L18" s="23">
        <f>'Profit &amp; Loss'!L13/((('Balance Sheet'!L16+'Balance Sheet'!L17+'Balance Sheet'!L18)+('Balance Sheet'!K16+'Balance Sheet'!K17+'Balance Sheet'!K18))/2)</f>
        <v/>
      </c>
      <c r="M18" s="23">
        <f>'Profit &amp; Loss'!M13/((('Balance Sheet'!M16+'Balance Sheet'!M17+'Balance Sheet'!M18)+('Balance Sheet'!L16+'Balance Sheet'!L17+'Balance Sheet'!L18))/2)</f>
        <v/>
      </c>
      <c r="N18" s="23">
        <f>'Profit &amp; Loss'!N13/((('Balance Sheet'!N16+'Balance Sheet'!N17+'Balance Sheet'!N18)+('Balance Sheet'!M16+'Balance Sheet'!M17+'Balance Sheet'!M18))/2)</f>
        <v/>
      </c>
    </row>
    <row r="19">
      <c r="A19" s="11" t="inlineStr">
        <is>
          <t>Return on invested capital (ROIC)</t>
        </is>
      </c>
      <c r="B19" s="23">
        <f>'Profit &amp; Loss'!B13*(1-'Profit &amp; Loss'!B20)/('Balance Sheet'!B16+'Balance Sheet'!B17+'Balance Sheet'!B18-'Balance Sheet'!B11)</f>
        <v/>
      </c>
      <c r="C19" s="23">
        <f>'Profit &amp; Loss'!C13*(1-'Profit &amp; Loss'!C20)/((('Balance Sheet'!C16+'Balance Sheet'!C17+'Balance Sheet'!C18-'Balance Sheet'!C11)+('Balance Sheet'!B16+'Balance Sheet'!B17+'Balance Sheet'!B18-'Balance Sheet'!B11))/2)</f>
        <v/>
      </c>
      <c r="D19" s="23">
        <f>'Profit &amp; Loss'!D13*(1-'Profit &amp; Loss'!D20)/((('Balance Sheet'!D16+'Balance Sheet'!D17+'Balance Sheet'!D18-'Balance Sheet'!D11)+('Balance Sheet'!C16+'Balance Sheet'!C17+'Balance Sheet'!C18-'Balance Sheet'!C11))/2)</f>
        <v/>
      </c>
      <c r="E19" s="23">
        <f>'Profit &amp; Loss'!E13*(1-'Profit &amp; Loss'!E20)/((('Balance Sheet'!E16+'Balance Sheet'!E17+'Balance Sheet'!E18-'Balance Sheet'!E11)+('Balance Sheet'!D16+'Balance Sheet'!D17+'Balance Sheet'!D18-'Balance Sheet'!D11))/2)</f>
        <v/>
      </c>
      <c r="F19" s="23">
        <f>'Profit &amp; Loss'!F13*(1-'Profit &amp; Loss'!F20)/((('Balance Sheet'!F16+'Balance Sheet'!F17+'Balance Sheet'!F18-'Balance Sheet'!F11)+('Balance Sheet'!E16+'Balance Sheet'!E17+'Balance Sheet'!E18-'Balance Sheet'!E11))/2)</f>
        <v/>
      </c>
      <c r="G19" s="23">
        <f>'Profit &amp; Loss'!G13*(1-'Profit &amp; Loss'!G20)/((('Balance Sheet'!G16+'Balance Sheet'!G17+'Balance Sheet'!G18-'Balance Sheet'!G11)+('Balance Sheet'!F16+'Balance Sheet'!F17+'Balance Sheet'!F18-'Balance Sheet'!F11))/2)</f>
        <v/>
      </c>
      <c r="H19" s="23">
        <f>'Profit &amp; Loss'!H13*(1-'Profit &amp; Loss'!H20)/((('Balance Sheet'!H16+'Balance Sheet'!H17+'Balance Sheet'!H18-'Balance Sheet'!H11)+('Balance Sheet'!G16+'Balance Sheet'!G17+'Balance Sheet'!G18-'Balance Sheet'!G11))/2)</f>
        <v/>
      </c>
      <c r="I19" s="23">
        <f>'Profit &amp; Loss'!I13*(1-'Profit &amp; Loss'!I20)/((('Balance Sheet'!I16+'Balance Sheet'!I17+'Balance Sheet'!I18-'Balance Sheet'!I11)+('Balance Sheet'!H16+'Balance Sheet'!H17+'Balance Sheet'!H18-'Balance Sheet'!H11))/2)</f>
        <v/>
      </c>
      <c r="J19" s="23">
        <f>'Profit &amp; Loss'!J13*(1-'Profit &amp; Loss'!J20)/((('Balance Sheet'!J16+'Balance Sheet'!J17+'Balance Sheet'!J18-'Balance Sheet'!J11)+('Balance Sheet'!I16+'Balance Sheet'!I17+'Balance Sheet'!I18-'Balance Sheet'!I11))/2)</f>
        <v/>
      </c>
      <c r="K19" s="23">
        <f>'Profit &amp; Loss'!K13*(1-'Profit &amp; Loss'!K20)/((('Balance Sheet'!K16+'Balance Sheet'!K17+'Balance Sheet'!K18-'Balance Sheet'!K11)+('Balance Sheet'!J16+'Balance Sheet'!J17+'Balance Sheet'!J18-'Balance Sheet'!J11))/2)</f>
        <v/>
      </c>
      <c r="L19" s="23">
        <f>'Profit &amp; Loss'!L13*(1-'Profit &amp; Loss'!L20)/((('Balance Sheet'!L16+'Balance Sheet'!L17+'Balance Sheet'!L18-'Balance Sheet'!L11)+('Balance Sheet'!K16+'Balance Sheet'!K17+'Balance Sheet'!K18-'Balance Sheet'!K11))/2)</f>
        <v/>
      </c>
      <c r="M19" s="23">
        <f>'Profit &amp; Loss'!M13*(1-'Profit &amp; Loss'!M20)/((('Balance Sheet'!M16+'Balance Sheet'!M17+'Balance Sheet'!M18-'Balance Sheet'!M11)+('Balance Sheet'!L16+'Balance Sheet'!L17+'Balance Sheet'!L18-'Balance Sheet'!L11))/2)</f>
        <v/>
      </c>
      <c r="N19" s="23">
        <f>'Profit &amp; Loss'!N13*(1-'Profit &amp; Loss'!N20)/((('Balance Sheet'!N16+'Balance Sheet'!N17+'Balance Sheet'!N18-'Balance Sheet'!N11)+('Balance Sheet'!M16+'Balance Sheet'!M17+'Balance Sheet'!M18-'Balance Sheet'!M11))/2)</f>
        <v/>
      </c>
    </row>
    <row r="21">
      <c r="A21" s="18" t="inlineStr">
        <is>
          <t>Efficiency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</row>
    <row r="22">
      <c r="A22" s="11" t="inlineStr">
        <is>
          <t>Asset turnover (x)</t>
        </is>
      </c>
      <c r="B22" s="36">
        <f>'Profit &amp; Loss'!B4/'Balance Sheet'!B13</f>
        <v/>
      </c>
      <c r="C22" s="36">
        <f>'Profit &amp; Loss'!C4/(('Balance Sheet'!C13+'Balance Sheet'!B13)/2)</f>
        <v/>
      </c>
      <c r="D22" s="36">
        <f>'Profit &amp; Loss'!D4/(('Balance Sheet'!D13+'Balance Sheet'!C13)/2)</f>
        <v/>
      </c>
      <c r="E22" s="36">
        <f>'Profit &amp; Loss'!E4/(('Balance Sheet'!E13+'Balance Sheet'!D13)/2)</f>
        <v/>
      </c>
      <c r="F22" s="36">
        <f>'Profit &amp; Loss'!F4/(('Balance Sheet'!F13+'Balance Sheet'!E13)/2)</f>
        <v/>
      </c>
      <c r="G22" s="36">
        <f>'Profit &amp; Loss'!G4/(('Balance Sheet'!G13+'Balance Sheet'!F13)/2)</f>
        <v/>
      </c>
      <c r="H22" s="36">
        <f>'Profit &amp; Loss'!H4/(('Balance Sheet'!H13+'Balance Sheet'!G13)/2)</f>
        <v/>
      </c>
      <c r="I22" s="36">
        <f>'Profit &amp; Loss'!I4/(('Balance Sheet'!I13+'Balance Sheet'!H13)/2)</f>
        <v/>
      </c>
      <c r="J22" s="36">
        <f>'Profit &amp; Loss'!J4/(('Balance Sheet'!J13+'Balance Sheet'!I13)/2)</f>
        <v/>
      </c>
      <c r="K22" s="36">
        <f>'Profit &amp; Loss'!K4/(('Balance Sheet'!K13+'Balance Sheet'!J13)/2)</f>
        <v/>
      </c>
      <c r="L22" s="36">
        <f>'Profit &amp; Loss'!L4/(('Balance Sheet'!L13+'Balance Sheet'!K13)/2)</f>
        <v/>
      </c>
      <c r="M22" s="36">
        <f>'Profit &amp; Loss'!M4/(('Balance Sheet'!M13+'Balance Sheet'!L13)/2)</f>
        <v/>
      </c>
      <c r="N22" s="36">
        <f>'Profit &amp; Loss'!N4/(('Balance Sheet'!N13+'Balance Sheet'!M13)/2)</f>
        <v/>
      </c>
    </row>
    <row r="23">
      <c r="A23" s="11" t="inlineStr">
        <is>
          <t>Inventory days</t>
        </is>
      </c>
      <c r="B23" s="28">
        <f>'Working Capital Schedule'!B15</f>
        <v/>
      </c>
      <c r="C23" s="28">
        <f>'Working Capital Schedule'!C15</f>
        <v/>
      </c>
      <c r="D23" s="28">
        <f>'Working Capital Schedule'!D15</f>
        <v/>
      </c>
      <c r="E23" s="28">
        <f>'Working Capital Schedule'!E15</f>
        <v/>
      </c>
      <c r="F23" s="28">
        <f>'Working Capital Schedule'!F15</f>
        <v/>
      </c>
      <c r="G23" s="28">
        <f>'Working Capital Schedule'!G15</f>
        <v/>
      </c>
      <c r="H23" s="28">
        <f>'Working Capital Schedule'!H15</f>
        <v/>
      </c>
      <c r="I23" s="28">
        <f>'Working Capital Schedule'!I15</f>
        <v/>
      </c>
      <c r="J23" s="28">
        <f>'Working Capital Schedule'!J15</f>
        <v/>
      </c>
      <c r="K23" s="28">
        <f>'Working Capital Schedule'!K15</f>
        <v/>
      </c>
      <c r="L23" s="28">
        <f>'Working Capital Schedule'!L15</f>
        <v/>
      </c>
      <c r="M23" s="28">
        <f>'Working Capital Schedule'!M15</f>
        <v/>
      </c>
      <c r="N23" s="28">
        <f>'Working Capital Schedule'!N15</f>
        <v/>
      </c>
    </row>
    <row r="24">
      <c r="A24" s="11" t="inlineStr">
        <is>
          <t>Receivable days</t>
        </is>
      </c>
      <c r="B24" s="28">
        <f>'Working Capital Schedule'!B14</f>
        <v/>
      </c>
      <c r="C24" s="28">
        <f>'Working Capital Schedule'!C14</f>
        <v/>
      </c>
      <c r="D24" s="28">
        <f>'Working Capital Schedule'!D14</f>
        <v/>
      </c>
      <c r="E24" s="28">
        <f>'Working Capital Schedule'!E14</f>
        <v/>
      </c>
      <c r="F24" s="28">
        <f>'Working Capital Schedule'!F14</f>
        <v/>
      </c>
      <c r="G24" s="28">
        <f>'Working Capital Schedule'!G14</f>
        <v/>
      </c>
      <c r="H24" s="28">
        <f>'Working Capital Schedule'!H14</f>
        <v/>
      </c>
      <c r="I24" s="28">
        <f>'Working Capital Schedule'!I14</f>
        <v/>
      </c>
      <c r="J24" s="28">
        <f>'Working Capital Schedule'!J14</f>
        <v/>
      </c>
      <c r="K24" s="28">
        <f>'Working Capital Schedule'!K14</f>
        <v/>
      </c>
      <c r="L24" s="28">
        <f>'Working Capital Schedule'!L14</f>
        <v/>
      </c>
      <c r="M24" s="28">
        <f>'Working Capital Schedule'!M14</f>
        <v/>
      </c>
      <c r="N24" s="28">
        <f>'Working Capital Schedule'!N14</f>
        <v/>
      </c>
    </row>
    <row r="25">
      <c r="A25" s="11" t="inlineStr">
        <is>
          <t>Payable days</t>
        </is>
      </c>
      <c r="B25" s="28">
        <f>'Working Capital Schedule'!B16</f>
        <v/>
      </c>
      <c r="C25" s="28">
        <f>'Working Capital Schedule'!C16</f>
        <v/>
      </c>
      <c r="D25" s="28">
        <f>'Working Capital Schedule'!D16</f>
        <v/>
      </c>
      <c r="E25" s="28">
        <f>'Working Capital Schedule'!E16</f>
        <v/>
      </c>
      <c r="F25" s="28">
        <f>'Working Capital Schedule'!F16</f>
        <v/>
      </c>
      <c r="G25" s="28">
        <f>'Working Capital Schedule'!G16</f>
        <v/>
      </c>
      <c r="H25" s="28">
        <f>'Working Capital Schedule'!H16</f>
        <v/>
      </c>
      <c r="I25" s="28">
        <f>'Working Capital Schedule'!I16</f>
        <v/>
      </c>
      <c r="J25" s="28">
        <f>'Working Capital Schedule'!J16</f>
        <v/>
      </c>
      <c r="K25" s="28">
        <f>'Working Capital Schedule'!K16</f>
        <v/>
      </c>
      <c r="L25" s="28">
        <f>'Working Capital Schedule'!L16</f>
        <v/>
      </c>
      <c r="M25" s="28">
        <f>'Working Capital Schedule'!M16</f>
        <v/>
      </c>
      <c r="N25" s="28">
        <f>'Working Capital Schedule'!N16</f>
        <v/>
      </c>
    </row>
    <row r="26">
      <c r="A26" s="11" t="inlineStr">
        <is>
          <t>Cash conversion cycle (days)</t>
        </is>
      </c>
      <c r="B26" s="28">
        <f>'Working Capital Schedule'!B17</f>
        <v/>
      </c>
      <c r="C26" s="28">
        <f>'Working Capital Schedule'!C17</f>
        <v/>
      </c>
      <c r="D26" s="28">
        <f>'Working Capital Schedule'!D17</f>
        <v/>
      </c>
      <c r="E26" s="28">
        <f>'Working Capital Schedule'!E17</f>
        <v/>
      </c>
      <c r="F26" s="28">
        <f>'Working Capital Schedule'!F17</f>
        <v/>
      </c>
      <c r="G26" s="28">
        <f>'Working Capital Schedule'!G17</f>
        <v/>
      </c>
      <c r="H26" s="28">
        <f>'Working Capital Schedule'!H17</f>
        <v/>
      </c>
      <c r="I26" s="28">
        <f>'Working Capital Schedule'!I17</f>
        <v/>
      </c>
      <c r="J26" s="28">
        <f>'Working Capital Schedule'!J17</f>
        <v/>
      </c>
      <c r="K26" s="28">
        <f>'Working Capital Schedule'!K17</f>
        <v/>
      </c>
      <c r="L26" s="28">
        <f>'Working Capital Schedule'!L17</f>
        <v/>
      </c>
      <c r="M26" s="28">
        <f>'Working Capital Schedule'!M17</f>
        <v/>
      </c>
      <c r="N26" s="28">
        <f>'Working Capital Schedule'!N17</f>
        <v/>
      </c>
    </row>
    <row r="28">
      <c r="A28" s="18" t="inlineStr">
        <is>
          <t>Leverage</t>
        </is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</row>
    <row r="29">
      <c r="A29" s="11" t="inlineStr">
        <is>
          <t>Debt / Equity (x)</t>
        </is>
      </c>
      <c r="B29" s="36">
        <f>'Balance Sheet'!B18/('Balance Sheet'!B16+'Balance Sheet'!B17)</f>
        <v/>
      </c>
      <c r="C29" s="36">
        <f>'Balance Sheet'!C18/('Balance Sheet'!C16+'Balance Sheet'!C17)</f>
        <v/>
      </c>
      <c r="D29" s="36">
        <f>'Balance Sheet'!D18/('Balance Sheet'!D16+'Balance Sheet'!D17)</f>
        <v/>
      </c>
      <c r="E29" s="36">
        <f>'Balance Sheet'!E18/('Balance Sheet'!E16+'Balance Sheet'!E17)</f>
        <v/>
      </c>
      <c r="F29" s="36">
        <f>'Balance Sheet'!F18/('Balance Sheet'!F16+'Balance Sheet'!F17)</f>
        <v/>
      </c>
      <c r="G29" s="36">
        <f>'Balance Sheet'!G18/('Balance Sheet'!G16+'Balance Sheet'!G17)</f>
        <v/>
      </c>
      <c r="H29" s="36">
        <f>'Balance Sheet'!H18/('Balance Sheet'!H16+'Balance Sheet'!H17)</f>
        <v/>
      </c>
      <c r="I29" s="36">
        <f>'Balance Sheet'!I18/('Balance Sheet'!I16+'Balance Sheet'!I17)</f>
        <v/>
      </c>
      <c r="J29" s="36">
        <f>'Balance Sheet'!J18/('Balance Sheet'!J16+'Balance Sheet'!J17)</f>
        <v/>
      </c>
      <c r="K29" s="36">
        <f>'Balance Sheet'!K18/('Balance Sheet'!K16+'Balance Sheet'!K17)</f>
        <v/>
      </c>
      <c r="L29" s="36">
        <f>'Balance Sheet'!L18/('Balance Sheet'!L16+'Balance Sheet'!L17)</f>
        <v/>
      </c>
      <c r="M29" s="36">
        <f>'Balance Sheet'!M18/('Balance Sheet'!M16+'Balance Sheet'!M17)</f>
        <v/>
      </c>
      <c r="N29" s="36">
        <f>'Balance Sheet'!N18/('Balance Sheet'!N16+'Balance Sheet'!N17)</f>
        <v/>
      </c>
    </row>
    <row r="30">
      <c r="A30" s="11" t="inlineStr">
        <is>
          <t>Net debt / EBITDA (x)</t>
        </is>
      </c>
      <c r="B30" s="36">
        <f>'Working Schedules'!B28/'Profit &amp; Loss'!B10</f>
        <v/>
      </c>
      <c r="C30" s="36">
        <f>'Working Schedules'!C28/'Profit &amp; Loss'!C10</f>
        <v/>
      </c>
      <c r="D30" s="36">
        <f>'Working Schedules'!D28/'Profit &amp; Loss'!D10</f>
        <v/>
      </c>
      <c r="E30" s="36">
        <f>'Working Schedules'!E28/'Profit &amp; Loss'!E10</f>
        <v/>
      </c>
      <c r="F30" s="36">
        <f>'Working Schedules'!F28/'Profit &amp; Loss'!F10</f>
        <v/>
      </c>
      <c r="G30" s="36">
        <f>'Working Schedules'!G28/'Profit &amp; Loss'!G10</f>
        <v/>
      </c>
      <c r="H30" s="36">
        <f>'Working Schedules'!H28/'Profit &amp; Loss'!H10</f>
        <v/>
      </c>
      <c r="I30" s="36">
        <f>'Working Schedules'!I28/'Profit &amp; Loss'!I10</f>
        <v/>
      </c>
      <c r="J30" s="36">
        <f>'Working Schedules'!J28/'Profit &amp; Loss'!J10</f>
        <v/>
      </c>
      <c r="K30" s="36">
        <f>'Working Schedules'!K28/'Profit &amp; Loss'!K10</f>
        <v/>
      </c>
      <c r="L30" s="36">
        <f>'Working Schedules'!L28/'Profit &amp; Loss'!L10</f>
        <v/>
      </c>
      <c r="M30" s="36">
        <f>'Working Schedules'!M28/'Profit &amp; Loss'!M10</f>
        <v/>
      </c>
      <c r="N30" s="36">
        <f>'Working Schedules'!N28/'Profit &amp; Loss'!N10</f>
        <v/>
      </c>
    </row>
    <row r="31">
      <c r="A31" s="11" t="inlineStr">
        <is>
          <t>Interest coverage (EBIT/interest, x)</t>
        </is>
      </c>
      <c r="B31" s="36">
        <f>IF('Profit &amp; Loss'!B15=0,"",'Profit &amp; Loss'!B13/'Profit &amp; Loss'!B15)</f>
        <v/>
      </c>
      <c r="C31" s="36">
        <f>IF('Profit &amp; Loss'!C15=0,"",'Profit &amp; Loss'!C13/'Profit &amp; Loss'!C15)</f>
        <v/>
      </c>
      <c r="D31" s="36">
        <f>IF('Profit &amp; Loss'!D15=0,"",'Profit &amp; Loss'!D13/'Profit &amp; Loss'!D15)</f>
        <v/>
      </c>
      <c r="E31" s="36">
        <f>IF('Profit &amp; Loss'!E15=0,"",'Profit &amp; Loss'!E13/'Profit &amp; Loss'!E15)</f>
        <v/>
      </c>
      <c r="F31" s="36">
        <f>IF('Profit &amp; Loss'!F15=0,"",'Profit &amp; Loss'!F13/'Profit &amp; Loss'!F15)</f>
        <v/>
      </c>
      <c r="G31" s="36">
        <f>IF('Profit &amp; Loss'!G15=0,"",'Profit &amp; Loss'!G13/'Profit &amp; Loss'!G15)</f>
        <v/>
      </c>
      <c r="H31" s="36">
        <f>IF('Profit &amp; Loss'!H15=0,"",'Profit &amp; Loss'!H13/'Profit &amp; Loss'!H15)</f>
        <v/>
      </c>
      <c r="I31" s="36">
        <f>IF('Profit &amp; Loss'!I15=0,"",'Profit &amp; Loss'!I13/'Profit &amp; Loss'!I15)</f>
        <v/>
      </c>
      <c r="J31" s="36">
        <f>IF('Profit &amp; Loss'!J15=0,"",'Profit &amp; Loss'!J13/'Profit &amp; Loss'!J15)</f>
        <v/>
      </c>
      <c r="K31" s="36">
        <f>IF('Profit &amp; Loss'!K15=0,"",'Profit &amp; Loss'!K13/'Profit &amp; Loss'!K15)</f>
        <v/>
      </c>
      <c r="L31" s="36">
        <f>IF('Profit &amp; Loss'!L15=0,"",'Profit &amp; Loss'!L13/'Profit &amp; Loss'!L15)</f>
        <v/>
      </c>
      <c r="M31" s="36">
        <f>IF('Profit &amp; Loss'!M15=0,"",'Profit &amp; Loss'!M13/'Profit &amp; Loss'!M15)</f>
        <v/>
      </c>
      <c r="N31" s="36">
        <f>IF('Profit &amp; Loss'!N15=0,"",'Profit &amp; Loss'!N13/'Profit &amp; Loss'!N15)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Consolidated Profit &amp; Loss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Rs Crore. Historical FY21-FY26 from consolidated annual reports / audited results; FY27-FY33 forecast driven by the Assumptions sheet.</t>
        </is>
      </c>
    </row>
    <row r="3" ht="16" customHeight="1">
      <c r="A3" s="4" t="inlineStr">
        <is>
          <t>Particulars</t>
        </is>
      </c>
      <c r="B3" s="5" t="inlineStr">
        <is>
          <t>FY2021A</t>
        </is>
      </c>
      <c r="C3" s="5" t="inlineStr">
        <is>
          <t>FY2022A</t>
        </is>
      </c>
      <c r="D3" s="5" t="inlineStr">
        <is>
          <t>FY2023A</t>
        </is>
      </c>
      <c r="E3" s="5" t="inlineStr">
        <is>
          <t>FY2024A</t>
        </is>
      </c>
      <c r="F3" s="5" t="inlineStr">
        <is>
          <t>FY2025A</t>
        </is>
      </c>
      <c r="G3" s="5" t="inlineStr">
        <is>
          <t>FY2026A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  <c r="L3" s="5" t="inlineStr">
        <is>
          <t>FY2031E</t>
        </is>
      </c>
      <c r="M3" s="5" t="inlineStr">
        <is>
          <t>FY2032E</t>
        </is>
      </c>
      <c r="N3" s="5" t="inlineStr">
        <is>
          <t>FY2033E</t>
        </is>
      </c>
    </row>
    <row r="4">
      <c r="A4" s="6" t="inlineStr">
        <is>
          <t>Revenue from operations</t>
        </is>
      </c>
      <c r="B4" s="7" t="n">
        <v>1179.39</v>
      </c>
      <c r="C4" s="7" t="n">
        <v>1453.36</v>
      </c>
      <c r="D4" s="7" t="n">
        <v>2077.4</v>
      </c>
      <c r="E4" s="7" t="n">
        <v>2065.01</v>
      </c>
      <c r="F4" s="7" t="n">
        <v>2349.38</v>
      </c>
      <c r="G4" s="7" t="n">
        <v>3314</v>
      </c>
      <c r="H4" s="8">
        <f>G4*(1+Assumptions!H5)</f>
        <v/>
      </c>
      <c r="I4" s="8">
        <f>H4*(1+Assumptions!I5)</f>
        <v/>
      </c>
      <c r="J4" s="8">
        <f>I4*(1+Assumptions!J5)</f>
        <v/>
      </c>
      <c r="K4" s="8">
        <f>J4*(1+Assumptions!K5)</f>
        <v/>
      </c>
      <c r="L4" s="8">
        <f>K4*(1+Assumptions!L5)</f>
        <v/>
      </c>
      <c r="M4" s="8">
        <f>L4*(1+Assumptions!M5)</f>
        <v/>
      </c>
      <c r="N4" s="8">
        <f>M4*(1+Assumptions!N5)</f>
        <v/>
      </c>
    </row>
    <row r="5">
      <c r="A5" s="9" t="inlineStr">
        <is>
          <t xml:space="preserve">   Revenue growth (%)</t>
        </is>
      </c>
      <c r="C5" s="10">
        <f>IF(B4=0,"",C4/B4-1)</f>
        <v/>
      </c>
      <c r="D5" s="10">
        <f>IF(C4=0,"",D4/C4-1)</f>
        <v/>
      </c>
      <c r="E5" s="10">
        <f>IF(D4=0,"",E4/D4-1)</f>
        <v/>
      </c>
      <c r="F5" s="10">
        <f>IF(E4=0,"",F4/E4-1)</f>
        <v/>
      </c>
      <c r="G5" s="10">
        <f>IF(F4=0,"",G4/F4-1)</f>
        <v/>
      </c>
      <c r="H5" s="10">
        <f>IF(G4=0,"",H4/G4-1)</f>
        <v/>
      </c>
      <c r="I5" s="10">
        <f>IF(H4=0,"",I4/H4-1)</f>
        <v/>
      </c>
      <c r="J5" s="10">
        <f>IF(I4=0,"",J4/I4-1)</f>
        <v/>
      </c>
      <c r="K5" s="10">
        <f>IF(J4=0,"",K4/J4-1)</f>
        <v/>
      </c>
      <c r="L5" s="10">
        <f>IF(K4=0,"",L4/K4-1)</f>
        <v/>
      </c>
      <c r="M5" s="10">
        <f>IF(L4=0,"",M4/L4-1)</f>
        <v/>
      </c>
      <c r="N5" s="10">
        <f>IF(M4=0,"",N4/M4-1)</f>
        <v/>
      </c>
    </row>
    <row r="6">
      <c r="A6" s="11" t="inlineStr">
        <is>
          <t>Cost of materials consumed</t>
        </is>
      </c>
      <c r="B6" s="12" t="n">
        <v>537.37</v>
      </c>
      <c r="C6" s="12" t="n">
        <v>665.63</v>
      </c>
      <c r="D6" s="12" t="n">
        <v>896.01</v>
      </c>
      <c r="E6" s="12" t="n">
        <v>935.4299999999999</v>
      </c>
      <c r="F6" s="12" t="n">
        <v>1038.62</v>
      </c>
      <c r="G6" s="12" t="n">
        <v>1359</v>
      </c>
      <c r="H6" s="13">
        <f>H4*Assumptions!H6</f>
        <v/>
      </c>
      <c r="I6" s="13">
        <f>I4*Assumptions!I6</f>
        <v/>
      </c>
      <c r="J6" s="13">
        <f>J4*Assumptions!J6</f>
        <v/>
      </c>
      <c r="K6" s="13">
        <f>K4*Assumptions!K6</f>
        <v/>
      </c>
      <c r="L6" s="13">
        <f>L4*Assumptions!L6</f>
        <v/>
      </c>
      <c r="M6" s="13">
        <f>M4*Assumptions!M6</f>
        <v/>
      </c>
      <c r="N6" s="13">
        <f>N4*Assumptions!N6</f>
        <v/>
      </c>
    </row>
    <row r="7">
      <c r="A7" s="11" t="inlineStr">
        <is>
          <t>Employee benefit expense</t>
        </is>
      </c>
      <c r="B7" s="12" t="n">
        <v>141.7</v>
      </c>
      <c r="C7" s="12" t="n">
        <v>181.53</v>
      </c>
      <c r="D7" s="12" t="n">
        <v>249.41</v>
      </c>
      <c r="E7" s="12" t="n">
        <v>285.84</v>
      </c>
      <c r="F7" s="12" t="n">
        <v>296.67</v>
      </c>
      <c r="G7" s="12" t="n">
        <v>331</v>
      </c>
      <c r="H7" s="13">
        <f>H4*Assumptions!H7</f>
        <v/>
      </c>
      <c r="I7" s="13">
        <f>I4*Assumptions!I7</f>
        <v/>
      </c>
      <c r="J7" s="13">
        <f>J4*Assumptions!J7</f>
        <v/>
      </c>
      <c r="K7" s="13">
        <f>K4*Assumptions!K7</f>
        <v/>
      </c>
      <c r="L7" s="13">
        <f>L4*Assumptions!L7</f>
        <v/>
      </c>
      <c r="M7" s="13">
        <f>M4*Assumptions!M7</f>
        <v/>
      </c>
      <c r="N7" s="13">
        <f>N4*Assumptions!N7</f>
        <v/>
      </c>
    </row>
    <row r="8">
      <c r="A8" s="11" t="inlineStr">
        <is>
          <t>Other expenses</t>
        </is>
      </c>
      <c r="B8" s="12" t="n">
        <v>191.03</v>
      </c>
      <c r="C8" s="12" t="n">
        <v>251.39</v>
      </c>
      <c r="D8" s="12" t="n">
        <v>381.67</v>
      </c>
      <c r="E8" s="12" t="n">
        <v>445.46</v>
      </c>
      <c r="F8" s="12" t="n">
        <v>480.37</v>
      </c>
      <c r="G8" s="12" t="n">
        <v>542</v>
      </c>
      <c r="H8" s="13">
        <f>H4*Assumptions!H8</f>
        <v/>
      </c>
      <c r="I8" s="13">
        <f>I4*Assumptions!I8</f>
        <v/>
      </c>
      <c r="J8" s="13">
        <f>J4*Assumptions!J8</f>
        <v/>
      </c>
      <c r="K8" s="13">
        <f>K4*Assumptions!K8</f>
        <v/>
      </c>
      <c r="L8" s="13">
        <f>L4*Assumptions!L8</f>
        <v/>
      </c>
      <c r="M8" s="13">
        <f>M4*Assumptions!M8</f>
        <v/>
      </c>
      <c r="N8" s="13">
        <f>N4*Assumptions!N8</f>
        <v/>
      </c>
    </row>
    <row r="9">
      <c r="A9" s="6" t="inlineStr">
        <is>
          <t>Total operating expenses</t>
        </is>
      </c>
      <c r="B9" s="14">
        <f>SUM(B6:B8)</f>
        <v/>
      </c>
      <c r="C9" s="14">
        <f>SUM(C6:C8)</f>
        <v/>
      </c>
      <c r="D9" s="14">
        <f>SUM(D6:D8)</f>
        <v/>
      </c>
      <c r="E9" s="14">
        <f>SUM(E6:E8)</f>
        <v/>
      </c>
      <c r="F9" s="14">
        <f>SUM(F6:F8)</f>
        <v/>
      </c>
      <c r="G9" s="14">
        <f>SUM(G6:G8)</f>
        <v/>
      </c>
      <c r="H9" s="14">
        <f>SUM(H6:H8)</f>
        <v/>
      </c>
      <c r="I9" s="14">
        <f>SUM(I6:I8)</f>
        <v/>
      </c>
      <c r="J9" s="14">
        <f>SUM(J6:J8)</f>
        <v/>
      </c>
      <c r="K9" s="14">
        <f>SUM(K6:K8)</f>
        <v/>
      </c>
      <c r="L9" s="14">
        <f>SUM(L6:L8)</f>
        <v/>
      </c>
      <c r="M9" s="14">
        <f>SUM(M6:M8)</f>
        <v/>
      </c>
      <c r="N9" s="14">
        <f>SUM(N6:N8)</f>
        <v/>
      </c>
    </row>
    <row r="10">
      <c r="A10" s="6" t="inlineStr">
        <is>
          <t>EBITDA</t>
        </is>
      </c>
      <c r="B10" s="15">
        <f>B4-B9</f>
        <v/>
      </c>
      <c r="C10" s="15">
        <f>C4-C9</f>
        <v/>
      </c>
      <c r="D10" s="15">
        <f>D4-D9</f>
        <v/>
      </c>
      <c r="E10" s="15">
        <f>E4-E9</f>
        <v/>
      </c>
      <c r="F10" s="15">
        <f>F4-F9</f>
        <v/>
      </c>
      <c r="G10" s="15">
        <f>G4-G9</f>
        <v/>
      </c>
      <c r="H10" s="15">
        <f>H4-H9</f>
        <v/>
      </c>
      <c r="I10" s="15">
        <f>I4-I9</f>
        <v/>
      </c>
      <c r="J10" s="15">
        <f>J4-J9</f>
        <v/>
      </c>
      <c r="K10" s="15">
        <f>K4-K9</f>
        <v/>
      </c>
      <c r="L10" s="15">
        <f>L4-L9</f>
        <v/>
      </c>
      <c r="M10" s="15">
        <f>M4-M9</f>
        <v/>
      </c>
      <c r="N10" s="15">
        <f>N4-N9</f>
        <v/>
      </c>
    </row>
    <row r="11">
      <c r="A11" s="9" t="inlineStr">
        <is>
          <t xml:space="preserve">   EBITDA margin (%)</t>
        </is>
      </c>
      <c r="B11" s="10">
        <f>IF(B4=0,"",B10/B4)</f>
        <v/>
      </c>
      <c r="C11" s="10">
        <f>IF(C4=0,"",C10/C4)</f>
        <v/>
      </c>
      <c r="D11" s="10">
        <f>IF(D4=0,"",D10/D4)</f>
        <v/>
      </c>
      <c r="E11" s="10">
        <f>IF(E4=0,"",E10/E4)</f>
        <v/>
      </c>
      <c r="F11" s="10">
        <f>IF(F4=0,"",F10/F4)</f>
        <v/>
      </c>
      <c r="G11" s="10">
        <f>IF(G4=0,"",G10/G4)</f>
        <v/>
      </c>
      <c r="H11" s="10">
        <f>IF(H4=0,"",H10/H4)</f>
        <v/>
      </c>
      <c r="I11" s="10">
        <f>IF(I4=0,"",I10/I4)</f>
        <v/>
      </c>
      <c r="J11" s="10">
        <f>IF(J4=0,"",J10/J4)</f>
        <v/>
      </c>
      <c r="K11" s="10">
        <f>IF(K4=0,"",K10/K4)</f>
        <v/>
      </c>
      <c r="L11" s="10">
        <f>IF(L4=0,"",L10/L4)</f>
        <v/>
      </c>
      <c r="M11" s="10">
        <f>IF(M4=0,"",M10/M4)</f>
        <v/>
      </c>
      <c r="N11" s="10">
        <f>IF(N4=0,"",N10/N4)</f>
        <v/>
      </c>
    </row>
    <row r="12">
      <c r="A12" s="11" t="inlineStr">
        <is>
          <t>Depreciation &amp; amortisation</t>
        </is>
      </c>
      <c r="B12" s="12" t="n">
        <v>44.17</v>
      </c>
      <c r="C12" s="12" t="n">
        <v>47.9</v>
      </c>
      <c r="D12" s="12" t="n">
        <v>62.64</v>
      </c>
      <c r="E12" s="12" t="n">
        <v>96.16</v>
      </c>
      <c r="F12" s="12" t="n">
        <v>119.43</v>
      </c>
      <c r="G12" s="12" t="n">
        <v>149</v>
      </c>
      <c r="H12" s="16">
        <f>'Working Schedules'!H6</f>
        <v/>
      </c>
      <c r="I12" s="16">
        <f>'Working Schedules'!I6</f>
        <v/>
      </c>
      <c r="J12" s="16">
        <f>'Working Schedules'!J6</f>
        <v/>
      </c>
      <c r="K12" s="16">
        <f>'Working Schedules'!K6</f>
        <v/>
      </c>
      <c r="L12" s="16">
        <f>'Working Schedules'!L6</f>
        <v/>
      </c>
      <c r="M12" s="16">
        <f>'Working Schedules'!M6</f>
        <v/>
      </c>
      <c r="N12" s="16">
        <f>'Working Schedules'!N6</f>
        <v/>
      </c>
    </row>
    <row r="13">
      <c r="A13" s="6" t="inlineStr">
        <is>
          <t>EBIT</t>
        </is>
      </c>
      <c r="B13" s="8">
        <f>B10-B12</f>
        <v/>
      </c>
      <c r="C13" s="8">
        <f>C10-C12</f>
        <v/>
      </c>
      <c r="D13" s="8">
        <f>D10-D12</f>
        <v/>
      </c>
      <c r="E13" s="8">
        <f>E10-E12</f>
        <v/>
      </c>
      <c r="F13" s="8">
        <f>F10-F12</f>
        <v/>
      </c>
      <c r="G13" s="8">
        <f>G10-G12</f>
        <v/>
      </c>
      <c r="H13" s="8">
        <f>H10-H12</f>
        <v/>
      </c>
      <c r="I13" s="8">
        <f>I10-I12</f>
        <v/>
      </c>
      <c r="J13" s="8">
        <f>J10-J12</f>
        <v/>
      </c>
      <c r="K13" s="8">
        <f>K10-K12</f>
        <v/>
      </c>
      <c r="L13" s="8">
        <f>L10-L12</f>
        <v/>
      </c>
      <c r="M13" s="8">
        <f>M10-M12</f>
        <v/>
      </c>
      <c r="N13" s="8">
        <f>N10-N12</f>
        <v/>
      </c>
    </row>
    <row r="14">
      <c r="A14" s="11" t="inlineStr">
        <is>
          <t>Other income</t>
        </is>
      </c>
      <c r="B14" s="12" t="n">
        <v>79.04000000000001</v>
      </c>
      <c r="C14" s="12" t="n">
        <v>39.22</v>
      </c>
      <c r="D14" s="12" t="n">
        <v>35.73</v>
      </c>
      <c r="E14" s="12" t="n">
        <v>55.85</v>
      </c>
      <c r="F14" s="12" t="n">
        <v>43.73</v>
      </c>
      <c r="G14" s="12" t="n">
        <v>59</v>
      </c>
      <c r="H14" s="13">
        <f>H4*Assumptions!H9</f>
        <v/>
      </c>
      <c r="I14" s="13">
        <f>I4*Assumptions!I9</f>
        <v/>
      </c>
      <c r="J14" s="13">
        <f>J4*Assumptions!J9</f>
        <v/>
      </c>
      <c r="K14" s="13">
        <f>K4*Assumptions!K9</f>
        <v/>
      </c>
      <c r="L14" s="13">
        <f>L4*Assumptions!L9</f>
        <v/>
      </c>
      <c r="M14" s="13">
        <f>M4*Assumptions!M9</f>
        <v/>
      </c>
      <c r="N14" s="13">
        <f>N4*Assumptions!N9</f>
        <v/>
      </c>
    </row>
    <row r="15">
      <c r="A15" s="11" t="inlineStr">
        <is>
          <t>Finance costs</t>
        </is>
      </c>
      <c r="B15" s="12" t="n">
        <v>1.84</v>
      </c>
      <c r="C15" s="12" t="n">
        <v>1.9</v>
      </c>
      <c r="D15" s="12" t="n">
        <v>27.52</v>
      </c>
      <c r="E15" s="12" t="n">
        <v>74.56</v>
      </c>
      <c r="F15" s="12" t="n">
        <v>77.93000000000001</v>
      </c>
      <c r="G15" s="12" t="n">
        <v>118</v>
      </c>
      <c r="H15" s="16">
        <f>'Working Schedules'!H13</f>
        <v/>
      </c>
      <c r="I15" s="16">
        <f>'Working Schedules'!I13</f>
        <v/>
      </c>
      <c r="J15" s="16">
        <f>'Working Schedules'!J13</f>
        <v/>
      </c>
      <c r="K15" s="16">
        <f>'Working Schedules'!K13</f>
        <v/>
      </c>
      <c r="L15" s="16">
        <f>'Working Schedules'!L13</f>
        <v/>
      </c>
      <c r="M15" s="16">
        <f>'Working Schedules'!M13</f>
        <v/>
      </c>
      <c r="N15" s="16">
        <f>'Working Schedules'!N13</f>
        <v/>
      </c>
    </row>
    <row r="16">
      <c r="A16" s="11" t="inlineStr">
        <is>
          <t>Profit before exceptional items &amp; tax</t>
        </is>
      </c>
      <c r="B16" s="13">
        <f>B13+B14-B15</f>
        <v/>
      </c>
      <c r="C16" s="13">
        <f>C13+C14-C15</f>
        <v/>
      </c>
      <c r="D16" s="13">
        <f>D13+D14-D15</f>
        <v/>
      </c>
      <c r="E16" s="13">
        <f>E13+E14-E15</f>
        <v/>
      </c>
      <c r="F16" s="13">
        <f>F13+F14-F15</f>
        <v/>
      </c>
      <c r="G16" s="13">
        <f>G13+G14-G15</f>
        <v/>
      </c>
      <c r="H16" s="13">
        <f>H13+H14-H15</f>
        <v/>
      </c>
      <c r="I16" s="13">
        <f>I13+I14-I15</f>
        <v/>
      </c>
      <c r="J16" s="13">
        <f>J13+J14-J15</f>
        <v/>
      </c>
      <c r="K16" s="13">
        <f>K13+K14-K15</f>
        <v/>
      </c>
      <c r="L16" s="13">
        <f>L13+L14-L15</f>
        <v/>
      </c>
      <c r="M16" s="13">
        <f>M13+M14-M15</f>
        <v/>
      </c>
      <c r="N16" s="13">
        <f>N13+N14-N15</f>
        <v/>
      </c>
    </row>
    <row r="17">
      <c r="A17" s="11" t="inlineStr">
        <is>
          <t>Exceptional items</t>
        </is>
      </c>
      <c r="B17" s="12" t="n">
        <v>15.51</v>
      </c>
      <c r="C17" s="12" t="n">
        <v>0</v>
      </c>
      <c r="D17" s="12" t="n">
        <v>0</v>
      </c>
      <c r="E17" s="12" t="n">
        <v>52.13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</row>
    <row r="18">
      <c r="A18" s="6" t="inlineStr">
        <is>
          <t>Profit before tax</t>
        </is>
      </c>
      <c r="B18" s="14">
        <f>B16+B17</f>
        <v/>
      </c>
      <c r="C18" s="14">
        <f>C16+C17</f>
        <v/>
      </c>
      <c r="D18" s="14">
        <f>D16+D17</f>
        <v/>
      </c>
      <c r="E18" s="14">
        <f>E16+E17</f>
        <v/>
      </c>
      <c r="F18" s="14">
        <f>F16+F17</f>
        <v/>
      </c>
      <c r="G18" s="14">
        <f>G16+G17</f>
        <v/>
      </c>
      <c r="H18" s="14">
        <f>H16+H17</f>
        <v/>
      </c>
      <c r="I18" s="14">
        <f>I16+I17</f>
        <v/>
      </c>
      <c r="J18" s="14">
        <f>J16+J17</f>
        <v/>
      </c>
      <c r="K18" s="14">
        <f>K16+K17</f>
        <v/>
      </c>
      <c r="L18" s="14">
        <f>L16+L17</f>
        <v/>
      </c>
      <c r="M18" s="14">
        <f>M16+M17</f>
        <v/>
      </c>
      <c r="N18" s="14">
        <f>N16+N17</f>
        <v/>
      </c>
    </row>
    <row r="19">
      <c r="A19" s="11" t="inlineStr">
        <is>
          <t>Tax expense</t>
        </is>
      </c>
      <c r="B19" s="12" t="n">
        <v>110.78</v>
      </c>
      <c r="C19" s="12" t="n">
        <v>81.15000000000001</v>
      </c>
      <c r="D19" s="12" t="n">
        <v>120.69</v>
      </c>
      <c r="E19" s="12" t="n">
        <v>65.03</v>
      </c>
      <c r="F19" s="12" t="n">
        <v>91.48999999999999</v>
      </c>
      <c r="G19" s="12" t="n">
        <v>209</v>
      </c>
      <c r="H19" s="13">
        <f>H18*Assumptions!H12</f>
        <v/>
      </c>
      <c r="I19" s="13">
        <f>I18*Assumptions!I12</f>
        <v/>
      </c>
      <c r="J19" s="13">
        <f>J18*Assumptions!J12</f>
        <v/>
      </c>
      <c r="K19" s="13">
        <f>K18*Assumptions!K12</f>
        <v/>
      </c>
      <c r="L19" s="13">
        <f>L18*Assumptions!L12</f>
        <v/>
      </c>
      <c r="M19" s="13">
        <f>M18*Assumptions!M12</f>
        <v/>
      </c>
      <c r="N19" s="13">
        <f>N18*Assumptions!N12</f>
        <v/>
      </c>
    </row>
    <row r="20">
      <c r="A20" s="9" t="inlineStr">
        <is>
          <t xml:space="preserve">   Effective tax rate (%)</t>
        </is>
      </c>
      <c r="B20" s="10">
        <f>IF(B18=0,"",B19/B18)</f>
        <v/>
      </c>
      <c r="C20" s="10">
        <f>IF(C18=0,"",C19/C18)</f>
        <v/>
      </c>
      <c r="D20" s="10">
        <f>IF(D18=0,"",D19/D18)</f>
        <v/>
      </c>
      <c r="E20" s="10">
        <f>IF(E18=0,"",E19/E18)</f>
        <v/>
      </c>
      <c r="F20" s="10">
        <f>IF(F18=0,"",F19/F18)</f>
        <v/>
      </c>
      <c r="G20" s="10">
        <f>IF(G18=0,"",G19/G18)</f>
        <v/>
      </c>
      <c r="H20" s="10">
        <f>IF(H18=0,"",H19/H18)</f>
        <v/>
      </c>
      <c r="I20" s="10">
        <f>IF(I18=0,"",I19/I18)</f>
        <v/>
      </c>
      <c r="J20" s="10">
        <f>IF(J18=0,"",J19/J18)</f>
        <v/>
      </c>
      <c r="K20" s="10">
        <f>IF(K18=0,"",K19/K18)</f>
        <v/>
      </c>
      <c r="L20" s="10">
        <f>IF(L18=0,"",L19/L18)</f>
        <v/>
      </c>
      <c r="M20" s="10">
        <f>IF(M18=0,"",M19/M18)</f>
        <v/>
      </c>
      <c r="N20" s="10">
        <f>IF(N18=0,"",N19/N18)</f>
        <v/>
      </c>
    </row>
    <row r="21">
      <c r="A21" s="6" t="inlineStr">
        <is>
          <t>Profit after tax (PAT)</t>
        </is>
      </c>
      <c r="B21" s="17" t="n">
        <v>257.52</v>
      </c>
      <c r="C21" s="17" t="n">
        <v>263.07</v>
      </c>
      <c r="D21" s="17" t="n">
        <v>375.18</v>
      </c>
      <c r="E21" s="17" t="n">
        <v>270.5</v>
      </c>
      <c r="F21" s="17" t="n">
        <v>288.58</v>
      </c>
      <c r="G21" s="17" t="n">
        <v>664</v>
      </c>
      <c r="H21" s="15">
        <f>H18-H19</f>
        <v/>
      </c>
      <c r="I21" s="15">
        <f>I18-I19</f>
        <v/>
      </c>
      <c r="J21" s="15">
        <f>J18-J19</f>
        <v/>
      </c>
      <c r="K21" s="15">
        <f>K18-K19</f>
        <v/>
      </c>
      <c r="L21" s="15">
        <f>L18-L19</f>
        <v/>
      </c>
      <c r="M21" s="15">
        <f>M18-M19</f>
        <v/>
      </c>
      <c r="N21" s="15">
        <f>N18-N19</f>
        <v/>
      </c>
    </row>
    <row r="22">
      <c r="A22" s="11" t="inlineStr">
        <is>
          <t>EPS (Rs/share)</t>
        </is>
      </c>
      <c r="B22" s="13">
        <f>IF('Working Schedules'!B23=0,"",B21/'Working Schedules'!B23)</f>
        <v/>
      </c>
      <c r="C22" s="13">
        <f>IF('Working Schedules'!C23=0,"",C21/'Working Schedules'!C23)</f>
        <v/>
      </c>
      <c r="D22" s="13">
        <f>IF('Working Schedules'!D23=0,"",D21/'Working Schedules'!D23)</f>
        <v/>
      </c>
      <c r="E22" s="13">
        <f>IF('Working Schedules'!E23=0,"",E21/'Working Schedules'!E23)</f>
        <v/>
      </c>
      <c r="F22" s="13">
        <f>IF('Working Schedules'!F23=0,"",F21/'Working Schedules'!F23)</f>
        <v/>
      </c>
      <c r="G22" s="13">
        <f>IF('Working Schedules'!G23=0,"",G21/'Working Schedules'!G23)</f>
        <v/>
      </c>
      <c r="H22" s="13">
        <f>IF('Working Schedules'!H23=0,"",H21/'Working Schedules'!H23)</f>
        <v/>
      </c>
      <c r="I22" s="13">
        <f>IF('Working Schedules'!I23=0,"",I21/'Working Schedules'!I23)</f>
        <v/>
      </c>
      <c r="J22" s="13">
        <f>IF('Working Schedules'!J23=0,"",J21/'Working Schedules'!J23)</f>
        <v/>
      </c>
      <c r="K22" s="13">
        <f>IF('Working Schedules'!K23=0,"",K21/'Working Schedules'!K23)</f>
        <v/>
      </c>
      <c r="L22" s="13">
        <f>IF('Working Schedules'!L23=0,"",L21/'Working Schedules'!L23)</f>
        <v/>
      </c>
      <c r="M22" s="13">
        <f>IF('Working Schedules'!M23=0,"",M21/'Working Schedules'!M23)</f>
        <v/>
      </c>
      <c r="N22" s="13">
        <f>IF('Working Schedules'!N23=0,"",N21/'Working Schedules'!N23)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Consolidated Balance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Rs Crore. Historical FY21-FY25 reconstructed from consolidated annual reports (balances to reported totals); FY26 reconciled to audited results; FY27-FY33 forecast (balances automatically).</t>
        </is>
      </c>
    </row>
    <row r="3" ht="16" customHeight="1">
      <c r="A3" s="4" t="inlineStr">
        <is>
          <t>Particulars</t>
        </is>
      </c>
      <c r="B3" s="5" t="inlineStr">
        <is>
          <t>FY2021A</t>
        </is>
      </c>
      <c r="C3" s="5" t="inlineStr">
        <is>
          <t>FY2022A</t>
        </is>
      </c>
      <c r="D3" s="5" t="inlineStr">
        <is>
          <t>FY2023A</t>
        </is>
      </c>
      <c r="E3" s="5" t="inlineStr">
        <is>
          <t>FY2024A</t>
        </is>
      </c>
      <c r="F3" s="5" t="inlineStr">
        <is>
          <t>FY2025A</t>
        </is>
      </c>
      <c r="G3" s="5" t="inlineStr">
        <is>
          <t>FY2026A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  <c r="L3" s="5" t="inlineStr">
        <is>
          <t>FY2031E</t>
        </is>
      </c>
      <c r="M3" s="5" t="inlineStr">
        <is>
          <t>FY2032E</t>
        </is>
      </c>
      <c r="N3" s="5" t="inlineStr">
        <is>
          <t>FY2033E</t>
        </is>
      </c>
    </row>
    <row r="4">
      <c r="A4" s="18" t="inlineStr">
        <is>
          <t>ASSETS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</row>
    <row r="5">
      <c r="A5" s="11" t="inlineStr">
        <is>
          <t>Net block (PP&amp;E, ROU, intangibles, goodwill)</t>
        </is>
      </c>
      <c r="B5" s="12" t="n">
        <v>540.12</v>
      </c>
      <c r="C5" s="12" t="n">
        <v>556.1</v>
      </c>
      <c r="D5" s="12" t="n">
        <v>1645.88</v>
      </c>
      <c r="E5" s="12" t="n">
        <v>1874.6</v>
      </c>
      <c r="F5" s="12" t="n">
        <v>2741.92</v>
      </c>
      <c r="G5" s="12" t="n">
        <v>3324</v>
      </c>
      <c r="H5" s="16">
        <f>'Working Schedules'!H8</f>
        <v/>
      </c>
      <c r="I5" s="16">
        <f>'Working Schedules'!I8</f>
        <v/>
      </c>
      <c r="J5" s="16">
        <f>'Working Schedules'!J8</f>
        <v/>
      </c>
      <c r="K5" s="16">
        <f>'Working Schedules'!K8</f>
        <v/>
      </c>
      <c r="L5" s="16">
        <f>'Working Schedules'!L8</f>
        <v/>
      </c>
      <c r="M5" s="16">
        <f>'Working Schedules'!M8</f>
        <v/>
      </c>
      <c r="N5" s="16">
        <f>'Working Schedules'!N8</f>
        <v/>
      </c>
    </row>
    <row r="6">
      <c r="A6" s="11" t="inlineStr">
        <is>
          <t>Capital work-in-progress</t>
        </is>
      </c>
      <c r="B6" s="12" t="n">
        <v>94.87</v>
      </c>
      <c r="C6" s="12" t="n">
        <v>742.1</v>
      </c>
      <c r="D6" s="12" t="n">
        <v>278.58</v>
      </c>
      <c r="E6" s="12" t="n">
        <v>711.09</v>
      </c>
      <c r="F6" s="12" t="n">
        <v>349.79</v>
      </c>
      <c r="G6" s="12" t="n">
        <v>143</v>
      </c>
      <c r="H6" s="13">
        <f>G6</f>
        <v/>
      </c>
      <c r="I6" s="13">
        <f>H6</f>
        <v/>
      </c>
      <c r="J6" s="13">
        <f>I6</f>
        <v/>
      </c>
      <c r="K6" s="13">
        <f>J6</f>
        <v/>
      </c>
      <c r="L6" s="13">
        <f>K6</f>
        <v/>
      </c>
      <c r="M6" s="13">
        <f>L6</f>
        <v/>
      </c>
      <c r="N6" s="13">
        <f>M6</f>
        <v/>
      </c>
    </row>
    <row r="7">
      <c r="A7" s="11" t="inlineStr">
        <is>
          <t>Non-current investments</t>
        </is>
      </c>
      <c r="B7" s="12" t="n">
        <v>14.54</v>
      </c>
      <c r="C7" s="12" t="n">
        <v>13.92</v>
      </c>
      <c r="D7" s="12" t="n">
        <v>12.7</v>
      </c>
      <c r="E7" s="12" t="n">
        <v>8.789999999999999</v>
      </c>
      <c r="F7" s="12" t="n">
        <v>8.119999999999999</v>
      </c>
      <c r="G7" s="12" t="n">
        <v>10</v>
      </c>
      <c r="H7" s="13">
        <f>G7</f>
        <v/>
      </c>
      <c r="I7" s="13">
        <f>H7</f>
        <v/>
      </c>
      <c r="J7" s="13">
        <f>I7</f>
        <v/>
      </c>
      <c r="K7" s="13">
        <f>J7</f>
        <v/>
      </c>
      <c r="L7" s="13">
        <f>K7</f>
        <v/>
      </c>
      <c r="M7" s="13">
        <f>L7</f>
        <v/>
      </c>
      <c r="N7" s="13">
        <f>M7</f>
        <v/>
      </c>
    </row>
    <row r="8">
      <c r="A8" s="11" t="inlineStr">
        <is>
          <t>Other non-current assets</t>
        </is>
      </c>
      <c r="B8" s="12" t="n">
        <v>53.23</v>
      </c>
      <c r="C8" s="12" t="n">
        <v>54.09</v>
      </c>
      <c r="D8" s="12" t="n">
        <v>125.96</v>
      </c>
      <c r="E8" s="12" t="n">
        <v>229.31</v>
      </c>
      <c r="F8" s="12" t="n">
        <v>141.71</v>
      </c>
      <c r="G8" s="12" t="n">
        <v>240</v>
      </c>
      <c r="H8" s="13">
        <f>G8</f>
        <v/>
      </c>
      <c r="I8" s="13">
        <f>H8</f>
        <v/>
      </c>
      <c r="J8" s="13">
        <f>I8</f>
        <v/>
      </c>
      <c r="K8" s="13">
        <f>J8</f>
        <v/>
      </c>
      <c r="L8" s="13">
        <f>K8</f>
        <v/>
      </c>
      <c r="M8" s="13">
        <f>L8</f>
        <v/>
      </c>
      <c r="N8" s="13">
        <f>M8</f>
        <v/>
      </c>
    </row>
    <row r="9">
      <c r="A9" s="11" t="inlineStr">
        <is>
          <t>Inventories</t>
        </is>
      </c>
      <c r="B9" s="12" t="n">
        <v>180.35</v>
      </c>
      <c r="C9" s="12" t="n">
        <v>257.54</v>
      </c>
      <c r="D9" s="12" t="n">
        <v>468.12</v>
      </c>
      <c r="E9" s="12" t="n">
        <v>371.65</v>
      </c>
      <c r="F9" s="12" t="n">
        <v>322.42</v>
      </c>
      <c r="G9" s="12" t="n">
        <v>428</v>
      </c>
      <c r="H9" s="16">
        <f>'Working Capital Schedule'!H7</f>
        <v/>
      </c>
      <c r="I9" s="16">
        <f>'Working Capital Schedule'!I7</f>
        <v/>
      </c>
      <c r="J9" s="16">
        <f>'Working Capital Schedule'!J7</f>
        <v/>
      </c>
      <c r="K9" s="16">
        <f>'Working Capital Schedule'!K7</f>
        <v/>
      </c>
      <c r="L9" s="16">
        <f>'Working Capital Schedule'!L7</f>
        <v/>
      </c>
      <c r="M9" s="16">
        <f>'Working Capital Schedule'!M7</f>
        <v/>
      </c>
      <c r="N9" s="16">
        <f>'Working Capital Schedule'!N7</f>
        <v/>
      </c>
    </row>
    <row r="10">
      <c r="A10" s="11" t="inlineStr">
        <is>
          <t>Trade receivables</t>
        </is>
      </c>
      <c r="B10" s="12" t="n">
        <v>284.11</v>
      </c>
      <c r="C10" s="12" t="n">
        <v>357.66</v>
      </c>
      <c r="D10" s="12" t="n">
        <v>561.52</v>
      </c>
      <c r="E10" s="12" t="n">
        <v>512.51</v>
      </c>
      <c r="F10" s="12" t="n">
        <v>582.42</v>
      </c>
      <c r="G10" s="12" t="n">
        <v>753</v>
      </c>
      <c r="H10" s="16">
        <f>'Working Capital Schedule'!H6</f>
        <v/>
      </c>
      <c r="I10" s="16">
        <f>'Working Capital Schedule'!I6</f>
        <v/>
      </c>
      <c r="J10" s="16">
        <f>'Working Capital Schedule'!J6</f>
        <v/>
      </c>
      <c r="K10" s="16">
        <f>'Working Capital Schedule'!K6</f>
        <v/>
      </c>
      <c r="L10" s="16">
        <f>'Working Capital Schedule'!L6</f>
        <v/>
      </c>
      <c r="M10" s="16">
        <f>'Working Capital Schedule'!M6</f>
        <v/>
      </c>
      <c r="N10" s="16">
        <f>'Working Capital Schedule'!N6</f>
        <v/>
      </c>
    </row>
    <row r="11">
      <c r="A11" s="11" t="inlineStr">
        <is>
          <t>Cash, bank &amp; current investments</t>
        </is>
      </c>
      <c r="B11" s="12" t="n">
        <v>635.4299999999999</v>
      </c>
      <c r="C11" s="12" t="n">
        <v>206.39</v>
      </c>
      <c r="D11" s="12" t="n">
        <v>73.8</v>
      </c>
      <c r="E11" s="12" t="n">
        <v>532.4299999999999</v>
      </c>
      <c r="F11" s="12" t="n">
        <v>531.2</v>
      </c>
      <c r="G11" s="12" t="n">
        <v>1282</v>
      </c>
      <c r="H11" s="16">
        <f>'Cash Flow Statement'!H21</f>
        <v/>
      </c>
      <c r="I11" s="16">
        <f>'Cash Flow Statement'!I21</f>
        <v/>
      </c>
      <c r="J11" s="16">
        <f>'Cash Flow Statement'!J21</f>
        <v/>
      </c>
      <c r="K11" s="16">
        <f>'Cash Flow Statement'!K21</f>
        <v/>
      </c>
      <c r="L11" s="16">
        <f>'Cash Flow Statement'!L21</f>
        <v/>
      </c>
      <c r="M11" s="16">
        <f>'Cash Flow Statement'!M21</f>
        <v/>
      </c>
      <c r="N11" s="16">
        <f>'Cash Flow Statement'!N21</f>
        <v/>
      </c>
    </row>
    <row r="12">
      <c r="A12" s="11" t="inlineStr">
        <is>
          <t>Other current assets</t>
        </is>
      </c>
      <c r="B12" s="12" t="n">
        <v>94.84999999999999</v>
      </c>
      <c r="C12" s="12" t="n">
        <v>197.68</v>
      </c>
      <c r="D12" s="12" t="n">
        <v>362.73</v>
      </c>
      <c r="E12" s="12" t="n">
        <v>136.62</v>
      </c>
      <c r="F12" s="12" t="n">
        <v>152.8</v>
      </c>
      <c r="G12" s="12" t="n">
        <v>199</v>
      </c>
      <c r="H12" s="16">
        <f>'Working Capital Schedule'!H8</f>
        <v/>
      </c>
      <c r="I12" s="16">
        <f>'Working Capital Schedule'!I8</f>
        <v/>
      </c>
      <c r="J12" s="16">
        <f>'Working Capital Schedule'!J8</f>
        <v/>
      </c>
      <c r="K12" s="16">
        <f>'Working Capital Schedule'!K8</f>
        <v/>
      </c>
      <c r="L12" s="16">
        <f>'Working Capital Schedule'!L8</f>
        <v/>
      </c>
      <c r="M12" s="16">
        <f>'Working Capital Schedule'!M8</f>
        <v/>
      </c>
      <c r="N12" s="16">
        <f>'Working Capital Schedule'!N8</f>
        <v/>
      </c>
    </row>
    <row r="13">
      <c r="A13" s="6" t="inlineStr">
        <is>
          <t>Total assets</t>
        </is>
      </c>
      <c r="B13" s="20">
        <f>SUM(B5:B12)</f>
        <v/>
      </c>
      <c r="C13" s="20">
        <f>SUM(C5:C12)</f>
        <v/>
      </c>
      <c r="D13" s="20">
        <f>SUM(D5:D12)</f>
        <v/>
      </c>
      <c r="E13" s="20">
        <f>SUM(E5:E12)</f>
        <v/>
      </c>
      <c r="F13" s="20">
        <f>SUM(F5:F12)</f>
        <v/>
      </c>
      <c r="G13" s="20">
        <f>SUM(G5:G12)</f>
        <v/>
      </c>
      <c r="H13" s="20">
        <f>SUM(H5:H12)</f>
        <v/>
      </c>
      <c r="I13" s="20">
        <f>SUM(I5:I12)</f>
        <v/>
      </c>
      <c r="J13" s="20">
        <f>SUM(J5:J12)</f>
        <v/>
      </c>
      <c r="K13" s="20">
        <f>SUM(K5:K12)</f>
        <v/>
      </c>
      <c r="L13" s="20">
        <f>SUM(L5:L12)</f>
        <v/>
      </c>
      <c r="M13" s="20">
        <f>SUM(M5:M12)</f>
        <v/>
      </c>
      <c r="N13" s="20">
        <f>SUM(N5:N12)</f>
        <v/>
      </c>
    </row>
    <row r="15">
      <c r="A15" s="18" t="inlineStr">
        <is>
          <t>EQUITY &amp; LIABILITIES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</row>
    <row r="16">
      <c r="A16" s="11" t="inlineStr">
        <is>
          <t>Equity share capital</t>
        </is>
      </c>
      <c r="B16" s="12" t="n">
        <v>9.9</v>
      </c>
      <c r="C16" s="12" t="n">
        <v>9.91</v>
      </c>
      <c r="D16" s="12" t="n">
        <v>9.91</v>
      </c>
      <c r="E16" s="12" t="n">
        <v>9.91</v>
      </c>
      <c r="F16" s="12" t="n">
        <v>9.92</v>
      </c>
      <c r="G16" s="12" t="n">
        <v>10.25</v>
      </c>
      <c r="H16" s="13">
        <f>G16</f>
        <v/>
      </c>
      <c r="I16" s="13">
        <f>H16</f>
        <v/>
      </c>
      <c r="J16" s="13">
        <f>I16</f>
        <v/>
      </c>
      <c r="K16" s="13">
        <f>J16</f>
        <v/>
      </c>
      <c r="L16" s="13">
        <f>K16</f>
        <v/>
      </c>
      <c r="M16" s="13">
        <f>L16</f>
        <v/>
      </c>
      <c r="N16" s="13">
        <f>M16</f>
        <v/>
      </c>
    </row>
    <row r="17">
      <c r="A17" s="11" t="inlineStr">
        <is>
          <t>Reserves &amp; surplus</t>
        </is>
      </c>
      <c r="B17" s="12" t="n">
        <v>1624.01</v>
      </c>
      <c r="C17" s="12" t="n">
        <v>1834.31</v>
      </c>
      <c r="D17" s="12" t="n">
        <v>2175.04</v>
      </c>
      <c r="E17" s="12" t="n">
        <v>2372.76</v>
      </c>
      <c r="F17" s="12" t="n">
        <v>2616.31</v>
      </c>
      <c r="G17" s="12" t="n">
        <v>3964</v>
      </c>
      <c r="H17" s="16">
        <f>'Working Schedules'!H21</f>
        <v/>
      </c>
      <c r="I17" s="16">
        <f>'Working Schedules'!I21</f>
        <v/>
      </c>
      <c r="J17" s="16">
        <f>'Working Schedules'!J21</f>
        <v/>
      </c>
      <c r="K17" s="16">
        <f>'Working Schedules'!K21</f>
        <v/>
      </c>
      <c r="L17" s="16">
        <f>'Working Schedules'!L21</f>
        <v/>
      </c>
      <c r="M17" s="16">
        <f>'Working Schedules'!M21</f>
        <v/>
      </c>
      <c r="N17" s="16">
        <f>'Working Schedules'!N21</f>
        <v/>
      </c>
    </row>
    <row r="18">
      <c r="A18" s="11" t="inlineStr">
        <is>
          <t>Borrowings (incl. lease liabilities)</t>
        </is>
      </c>
      <c r="B18" s="12" t="n">
        <v>2.52</v>
      </c>
      <c r="C18" s="12" t="n">
        <v>120.82</v>
      </c>
      <c r="D18" s="12" t="n">
        <v>860.8</v>
      </c>
      <c r="E18" s="12" t="n">
        <v>1368.46</v>
      </c>
      <c r="F18" s="12" t="n">
        <v>1466.39</v>
      </c>
      <c r="G18" s="12" t="n">
        <v>1272</v>
      </c>
      <c r="H18" s="16">
        <f>'Working Schedules'!H12</f>
        <v/>
      </c>
      <c r="I18" s="16">
        <f>'Working Schedules'!I12</f>
        <v/>
      </c>
      <c r="J18" s="16">
        <f>'Working Schedules'!J12</f>
        <v/>
      </c>
      <c r="K18" s="16">
        <f>'Working Schedules'!K12</f>
        <v/>
      </c>
      <c r="L18" s="16">
        <f>'Working Schedules'!L12</f>
        <v/>
      </c>
      <c r="M18" s="16">
        <f>'Working Schedules'!M12</f>
        <v/>
      </c>
      <c r="N18" s="16">
        <f>'Working Schedules'!N12</f>
        <v/>
      </c>
    </row>
    <row r="19">
      <c r="A19" s="11" t="inlineStr">
        <is>
          <t>Deferred tax liabilities (net)</t>
        </is>
      </c>
      <c r="B19" s="12" t="n">
        <v>20.74</v>
      </c>
      <c r="C19" s="12" t="n">
        <v>20.14</v>
      </c>
      <c r="D19" s="12" t="n">
        <v>34.75</v>
      </c>
      <c r="E19" s="12" t="n">
        <v>64.33</v>
      </c>
      <c r="F19" s="12" t="n">
        <v>75.41</v>
      </c>
      <c r="G19" s="12" t="n">
        <v>85</v>
      </c>
      <c r="H19" s="13">
        <f>G19</f>
        <v/>
      </c>
      <c r="I19" s="13">
        <f>H19</f>
        <v/>
      </c>
      <c r="J19" s="13">
        <f>I19</f>
        <v/>
      </c>
      <c r="K19" s="13">
        <f>J19</f>
        <v/>
      </c>
      <c r="L19" s="13">
        <f>K19</f>
        <v/>
      </c>
      <c r="M19" s="13">
        <f>L19</f>
        <v/>
      </c>
      <c r="N19" s="13">
        <f>M19</f>
        <v/>
      </c>
    </row>
    <row r="20">
      <c r="A20" s="11" t="inlineStr">
        <is>
          <t>Other non-current liabilities &amp; provisions</t>
        </is>
      </c>
      <c r="B20" s="12" t="n">
        <v>40.86</v>
      </c>
      <c r="C20" s="12" t="n">
        <v>27.17</v>
      </c>
      <c r="D20" s="12" t="n">
        <v>28.56</v>
      </c>
      <c r="E20" s="12" t="n">
        <v>103.3</v>
      </c>
      <c r="F20" s="12" t="n">
        <v>147.45</v>
      </c>
      <c r="G20" s="12" t="n">
        <v>165</v>
      </c>
      <c r="H20" s="13">
        <f>G20</f>
        <v/>
      </c>
      <c r="I20" s="13">
        <f>H20</f>
        <v/>
      </c>
      <c r="J20" s="13">
        <f>I20</f>
        <v/>
      </c>
      <c r="K20" s="13">
        <f>J20</f>
        <v/>
      </c>
      <c r="L20" s="13">
        <f>K20</f>
        <v/>
      </c>
      <c r="M20" s="13">
        <f>L20</f>
        <v/>
      </c>
      <c r="N20" s="13">
        <f>M20</f>
        <v/>
      </c>
    </row>
    <row r="21">
      <c r="A21" s="11" t="inlineStr">
        <is>
          <t>Trade payables</t>
        </is>
      </c>
      <c r="B21" s="12" t="n">
        <v>107.42</v>
      </c>
      <c r="C21" s="12" t="n">
        <v>146.53</v>
      </c>
      <c r="D21" s="12" t="n">
        <v>243.48</v>
      </c>
      <c r="E21" s="12" t="n">
        <v>302.5</v>
      </c>
      <c r="F21" s="12" t="n">
        <v>326.96</v>
      </c>
      <c r="G21" s="12" t="n">
        <v>521</v>
      </c>
      <c r="H21" s="16">
        <f>'Working Capital Schedule'!H9</f>
        <v/>
      </c>
      <c r="I21" s="16">
        <f>'Working Capital Schedule'!I9</f>
        <v/>
      </c>
      <c r="J21" s="16">
        <f>'Working Capital Schedule'!J9</f>
        <v/>
      </c>
      <c r="K21" s="16">
        <f>'Working Capital Schedule'!K9</f>
        <v/>
      </c>
      <c r="L21" s="16">
        <f>'Working Capital Schedule'!L9</f>
        <v/>
      </c>
      <c r="M21" s="16">
        <f>'Working Capital Schedule'!M9</f>
        <v/>
      </c>
      <c r="N21" s="16">
        <f>'Working Capital Schedule'!N9</f>
        <v/>
      </c>
    </row>
    <row r="22">
      <c r="A22" s="11" t="inlineStr">
        <is>
          <t>Other current liabilities &amp; provisions</t>
        </is>
      </c>
      <c r="B22" s="12" t="n">
        <v>92.05</v>
      </c>
      <c r="C22" s="12" t="n">
        <v>226.6</v>
      </c>
      <c r="D22" s="12" t="n">
        <v>176.75</v>
      </c>
      <c r="E22" s="12" t="n">
        <v>155.74</v>
      </c>
      <c r="F22" s="12" t="n">
        <v>187.94</v>
      </c>
      <c r="G22" s="12" t="n">
        <v>361.75</v>
      </c>
      <c r="H22" s="16">
        <f>'Working Capital Schedule'!H10</f>
        <v/>
      </c>
      <c r="I22" s="16">
        <f>'Working Capital Schedule'!I10</f>
        <v/>
      </c>
      <c r="J22" s="16">
        <f>'Working Capital Schedule'!J10</f>
        <v/>
      </c>
      <c r="K22" s="16">
        <f>'Working Capital Schedule'!K10</f>
        <v/>
      </c>
      <c r="L22" s="16">
        <f>'Working Capital Schedule'!L10</f>
        <v/>
      </c>
      <c r="M22" s="16">
        <f>'Working Capital Schedule'!M10</f>
        <v/>
      </c>
      <c r="N22" s="16">
        <f>'Working Capital Schedule'!N10</f>
        <v/>
      </c>
    </row>
    <row r="23">
      <c r="A23" s="6" t="inlineStr">
        <is>
          <t>Total equity &amp; liabilities</t>
        </is>
      </c>
      <c r="B23" s="20">
        <f>SUM(B16:B22)</f>
        <v/>
      </c>
      <c r="C23" s="20">
        <f>SUM(C16:C22)</f>
        <v/>
      </c>
      <c r="D23" s="20">
        <f>SUM(D16:D22)</f>
        <v/>
      </c>
      <c r="E23" s="20">
        <f>SUM(E16:E22)</f>
        <v/>
      </c>
      <c r="F23" s="20">
        <f>SUM(F16:F22)</f>
        <v/>
      </c>
      <c r="G23" s="20">
        <f>SUM(G16:G22)</f>
        <v/>
      </c>
      <c r="H23" s="20">
        <f>SUM(H16:H22)</f>
        <v/>
      </c>
      <c r="I23" s="20">
        <f>SUM(I16:I22)</f>
        <v/>
      </c>
      <c r="J23" s="20">
        <f>SUM(J16:J22)</f>
        <v/>
      </c>
      <c r="K23" s="20">
        <f>SUM(K16:K22)</f>
        <v/>
      </c>
      <c r="L23" s="20">
        <f>SUM(L16:L22)</f>
        <v/>
      </c>
      <c r="M23" s="20">
        <f>SUM(M16:M22)</f>
        <v/>
      </c>
      <c r="N23" s="20">
        <f>SUM(N16:N22)</f>
        <v/>
      </c>
    </row>
    <row r="25">
      <c r="A25" s="9" t="inlineStr">
        <is>
          <t>Balance check (Assets - Equity &amp; Liab.)</t>
        </is>
      </c>
      <c r="B25" s="21">
        <f>B13-B23</f>
        <v/>
      </c>
      <c r="C25" s="21">
        <f>C13-C23</f>
        <v/>
      </c>
      <c r="D25" s="21">
        <f>D13-D23</f>
        <v/>
      </c>
      <c r="E25" s="21">
        <f>E13-E23</f>
        <v/>
      </c>
      <c r="F25" s="21">
        <f>F13-F23</f>
        <v/>
      </c>
      <c r="G25" s="21">
        <f>G13-G23</f>
        <v/>
      </c>
      <c r="H25" s="21">
        <f>H13-H23</f>
        <v/>
      </c>
      <c r="I25" s="21">
        <f>I13-I23</f>
        <v/>
      </c>
      <c r="J25" s="21">
        <f>J13-J23</f>
        <v/>
      </c>
      <c r="K25" s="21">
        <f>K13-K23</f>
        <v/>
      </c>
      <c r="L25" s="21">
        <f>L13-L23</f>
        <v/>
      </c>
      <c r="M25" s="21">
        <f>M13-M23</f>
        <v/>
      </c>
      <c r="N25" s="21">
        <f>N13-N23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Consolidated Cash Flow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Rs Crore. Historical FY21-FY26 as reported (summary); FY27-FY33 forecast via the indirect method, reconciling to the Balance Sheet cash balance.</t>
        </is>
      </c>
    </row>
    <row r="3" ht="16" customHeight="1">
      <c r="A3" s="4" t="inlineStr">
        <is>
          <t>Particulars</t>
        </is>
      </c>
      <c r="B3" s="5" t="inlineStr">
        <is>
          <t>FY2021A</t>
        </is>
      </c>
      <c r="C3" s="5" t="inlineStr">
        <is>
          <t>FY2022A</t>
        </is>
      </c>
      <c r="D3" s="5" t="inlineStr">
        <is>
          <t>FY2023A</t>
        </is>
      </c>
      <c r="E3" s="5" t="inlineStr">
        <is>
          <t>FY2024A</t>
        </is>
      </c>
      <c r="F3" s="5" t="inlineStr">
        <is>
          <t>FY2025A</t>
        </is>
      </c>
      <c r="G3" s="5" t="inlineStr">
        <is>
          <t>FY2026A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  <c r="L3" s="5" t="inlineStr">
        <is>
          <t>FY2031E</t>
        </is>
      </c>
      <c r="M3" s="5" t="inlineStr">
        <is>
          <t>FY2032E</t>
        </is>
      </c>
      <c r="N3" s="5" t="inlineStr">
        <is>
          <t>FY2033E</t>
        </is>
      </c>
    </row>
    <row r="4">
      <c r="A4" s="11" t="inlineStr">
        <is>
          <t>Profit after tax</t>
        </is>
      </c>
      <c r="H4" s="16">
        <f>'Profit &amp; Loss'!H21</f>
        <v/>
      </c>
      <c r="I4" s="16">
        <f>'Profit &amp; Loss'!I21</f>
        <v/>
      </c>
      <c r="J4" s="16">
        <f>'Profit &amp; Loss'!J21</f>
        <v/>
      </c>
      <c r="K4" s="16">
        <f>'Profit &amp; Loss'!K21</f>
        <v/>
      </c>
      <c r="L4" s="16">
        <f>'Profit &amp; Loss'!L21</f>
        <v/>
      </c>
      <c r="M4" s="16">
        <f>'Profit &amp; Loss'!M21</f>
        <v/>
      </c>
      <c r="N4" s="16">
        <f>'Profit &amp; Loss'!N21</f>
        <v/>
      </c>
    </row>
    <row r="5">
      <c r="A5" s="11" t="inlineStr">
        <is>
          <t>Add: Depreciation &amp; amortisation</t>
        </is>
      </c>
      <c r="H5" s="16">
        <f>'Profit &amp; Loss'!H12</f>
        <v/>
      </c>
      <c r="I5" s="16">
        <f>'Profit &amp; Loss'!I12</f>
        <v/>
      </c>
      <c r="J5" s="16">
        <f>'Profit &amp; Loss'!J12</f>
        <v/>
      </c>
      <c r="K5" s="16">
        <f>'Profit &amp; Loss'!K12</f>
        <v/>
      </c>
      <c r="L5" s="16">
        <f>'Profit &amp; Loss'!L12</f>
        <v/>
      </c>
      <c r="M5" s="16">
        <f>'Profit &amp; Loss'!M12</f>
        <v/>
      </c>
      <c r="N5" s="16">
        <f>'Profit &amp; Loss'!N12</f>
        <v/>
      </c>
    </row>
    <row r="6">
      <c r="A6" s="11" t="inlineStr">
        <is>
          <t>Add: Finance costs</t>
        </is>
      </c>
      <c r="H6" s="16">
        <f>'Profit &amp; Loss'!H15</f>
        <v/>
      </c>
      <c r="I6" s="16">
        <f>'Profit &amp; Loss'!I15</f>
        <v/>
      </c>
      <c r="J6" s="16">
        <f>'Profit &amp; Loss'!J15</f>
        <v/>
      </c>
      <c r="K6" s="16">
        <f>'Profit &amp; Loss'!K15</f>
        <v/>
      </c>
      <c r="L6" s="16">
        <f>'Profit &amp; Loss'!L15</f>
        <v/>
      </c>
      <c r="M6" s="16">
        <f>'Profit &amp; Loss'!M15</f>
        <v/>
      </c>
      <c r="N6" s="16">
        <f>'Profit &amp; Loss'!N15</f>
        <v/>
      </c>
    </row>
    <row r="7">
      <c r="A7" s="11" t="inlineStr">
        <is>
          <t>Less: Increase / (decrease) in net working capital</t>
        </is>
      </c>
      <c r="H7" s="16">
        <f>'Working Capital Schedule'!H12</f>
        <v/>
      </c>
      <c r="I7" s="16">
        <f>'Working Capital Schedule'!I12</f>
        <v/>
      </c>
      <c r="J7" s="16">
        <f>'Working Capital Schedule'!J12</f>
        <v/>
      </c>
      <c r="K7" s="16">
        <f>'Working Capital Schedule'!K12</f>
        <v/>
      </c>
      <c r="L7" s="16">
        <f>'Working Capital Schedule'!L12</f>
        <v/>
      </c>
      <c r="M7" s="16">
        <f>'Working Capital Schedule'!M12</f>
        <v/>
      </c>
      <c r="N7" s="16">
        <f>'Working Capital Schedule'!N12</f>
        <v/>
      </c>
    </row>
    <row r="8">
      <c r="A8" s="6" t="inlineStr">
        <is>
          <t>Cash flow from operating activities</t>
        </is>
      </c>
      <c r="B8" s="7" t="n">
        <v>237.27</v>
      </c>
      <c r="C8" s="7" t="n">
        <v>74.76000000000001</v>
      </c>
      <c r="D8" s="7" t="n">
        <v>-63.59</v>
      </c>
      <c r="E8" s="7" t="n">
        <v>749.89</v>
      </c>
      <c r="F8" s="7" t="n">
        <v>570.8099999999999</v>
      </c>
      <c r="G8" s="7" t="n">
        <v>894</v>
      </c>
      <c r="H8" s="15">
        <f>H4+H5+H6-H7</f>
        <v/>
      </c>
      <c r="I8" s="15">
        <f>I4+I5+I6-I7</f>
        <v/>
      </c>
      <c r="J8" s="15">
        <f>J4+J5+J6-J7</f>
        <v/>
      </c>
      <c r="K8" s="15">
        <f>K4+K5+K6-K7</f>
        <v/>
      </c>
      <c r="L8" s="15">
        <f>L4+L5+L6-L7</f>
        <v/>
      </c>
      <c r="M8" s="15">
        <f>M4+M5+M6-M7</f>
        <v/>
      </c>
      <c r="N8" s="15">
        <f>N4+N5+N6-N7</f>
        <v/>
      </c>
    </row>
    <row r="10">
      <c r="A10" s="11" t="inlineStr">
        <is>
          <t>Capital expenditure</t>
        </is>
      </c>
      <c r="B10" s="12" t="n">
        <v>98.69</v>
      </c>
      <c r="C10" s="12" t="n">
        <v>578.89</v>
      </c>
      <c r="D10" s="12" t="n">
        <v>757.71</v>
      </c>
      <c r="E10" s="12" t="n">
        <v>732.39</v>
      </c>
      <c r="F10" s="12" t="n">
        <v>561.14</v>
      </c>
      <c r="G10" s="12" t="n">
        <v>490</v>
      </c>
      <c r="H10" s="16">
        <f>Assumptions!H11</f>
        <v/>
      </c>
      <c r="I10" s="16">
        <f>Assumptions!I11</f>
        <v/>
      </c>
      <c r="J10" s="16">
        <f>Assumptions!J11</f>
        <v/>
      </c>
      <c r="K10" s="16">
        <f>Assumptions!K11</f>
        <v/>
      </c>
      <c r="L10" s="16">
        <f>Assumptions!L11</f>
        <v/>
      </c>
      <c r="M10" s="16">
        <f>Assumptions!M11</f>
        <v/>
      </c>
      <c r="N10" s="16">
        <f>Assumptions!N11</f>
        <v/>
      </c>
    </row>
    <row r="11">
      <c r="A11" s="6" t="inlineStr">
        <is>
          <t>Cash flow from investing activities</t>
        </is>
      </c>
      <c r="B11" s="7" t="n">
        <v>-237.1</v>
      </c>
      <c r="C11" s="7" t="n">
        <v>-172.37</v>
      </c>
      <c r="D11" s="7" t="n">
        <v>-655.62</v>
      </c>
      <c r="E11" s="7" t="n">
        <v>-1093.45</v>
      </c>
      <c r="F11" s="7" t="n">
        <v>-511.07</v>
      </c>
      <c r="G11" s="7" t="n">
        <v>-1235</v>
      </c>
      <c r="H11" s="15">
        <f>-H10</f>
        <v/>
      </c>
      <c r="I11" s="15">
        <f>-I10</f>
        <v/>
      </c>
      <c r="J11" s="15">
        <f>-J10</f>
        <v/>
      </c>
      <c r="K11" s="15">
        <f>-K10</f>
        <v/>
      </c>
      <c r="L11" s="15">
        <f>-L10</f>
        <v/>
      </c>
      <c r="M11" s="15">
        <f>-M10</f>
        <v/>
      </c>
      <c r="N11" s="15">
        <f>-N10</f>
        <v/>
      </c>
    </row>
    <row r="13">
      <c r="A13" s="11" t="inlineStr">
        <is>
          <t>Change in borrowings</t>
        </is>
      </c>
      <c r="H13" s="13">
        <f>'Working Schedules'!H12-'Working Schedules'!H11</f>
        <v/>
      </c>
      <c r="I13" s="13">
        <f>'Working Schedules'!I12-'Working Schedules'!I11</f>
        <v/>
      </c>
      <c r="J13" s="13">
        <f>'Working Schedules'!J12-'Working Schedules'!J11</f>
        <v/>
      </c>
      <c r="K13" s="13">
        <f>'Working Schedules'!K12-'Working Schedules'!K11</f>
        <v/>
      </c>
      <c r="L13" s="13">
        <f>'Working Schedules'!L12-'Working Schedules'!L11</f>
        <v/>
      </c>
      <c r="M13" s="13">
        <f>'Working Schedules'!M12-'Working Schedules'!M11</f>
        <v/>
      </c>
      <c r="N13" s="13">
        <f>'Working Schedules'!N12-'Working Schedules'!N11</f>
        <v/>
      </c>
    </row>
    <row r="14">
      <c r="A14" s="11" t="inlineStr">
        <is>
          <t>Less: Interest paid</t>
        </is>
      </c>
      <c r="H14" s="13">
        <f>-'Profit &amp; Loss'!H15</f>
        <v/>
      </c>
      <c r="I14" s="13">
        <f>-'Profit &amp; Loss'!I15</f>
        <v/>
      </c>
      <c r="J14" s="13">
        <f>-'Profit &amp; Loss'!J15</f>
        <v/>
      </c>
      <c r="K14" s="13">
        <f>-'Profit &amp; Loss'!K15</f>
        <v/>
      </c>
      <c r="L14" s="13">
        <f>-'Profit &amp; Loss'!L15</f>
        <v/>
      </c>
      <c r="M14" s="13">
        <f>-'Profit &amp; Loss'!M15</f>
        <v/>
      </c>
      <c r="N14" s="13">
        <f>-'Profit &amp; Loss'!N15</f>
        <v/>
      </c>
    </row>
    <row r="15">
      <c r="A15" s="11" t="inlineStr">
        <is>
          <t>Less: Dividends paid</t>
        </is>
      </c>
      <c r="H15" s="13">
        <f>-'Working Schedules'!H19</f>
        <v/>
      </c>
      <c r="I15" s="13">
        <f>-'Working Schedules'!I19</f>
        <v/>
      </c>
      <c r="J15" s="13">
        <f>-'Working Schedules'!J19</f>
        <v/>
      </c>
      <c r="K15" s="13">
        <f>-'Working Schedules'!K19</f>
        <v/>
      </c>
      <c r="L15" s="13">
        <f>-'Working Schedules'!L19</f>
        <v/>
      </c>
      <c r="M15" s="13">
        <f>-'Working Schedules'!M19</f>
        <v/>
      </c>
      <c r="N15" s="13">
        <f>-'Working Schedules'!N19</f>
        <v/>
      </c>
    </row>
    <row r="16">
      <c r="A16" s="11" t="inlineStr">
        <is>
          <t>Add: Equity issuance (QIP)</t>
        </is>
      </c>
      <c r="H16" s="16">
        <f>'Working Schedules'!H20</f>
        <v/>
      </c>
      <c r="I16" s="16">
        <f>'Working Schedules'!I20</f>
        <v/>
      </c>
      <c r="J16" s="16">
        <f>'Working Schedules'!J20</f>
        <v/>
      </c>
      <c r="K16" s="16">
        <f>'Working Schedules'!K20</f>
        <v/>
      </c>
      <c r="L16" s="16">
        <f>'Working Schedules'!L20</f>
        <v/>
      </c>
      <c r="M16" s="16">
        <f>'Working Schedules'!M20</f>
        <v/>
      </c>
      <c r="N16" s="16">
        <f>'Working Schedules'!N20</f>
        <v/>
      </c>
    </row>
    <row r="17">
      <c r="A17" s="6" t="inlineStr">
        <is>
          <t>Cash flow from financing activities</t>
        </is>
      </c>
      <c r="B17" s="7" t="n">
        <v>-45.05</v>
      </c>
      <c r="C17" s="7" t="n">
        <v>41.5</v>
      </c>
      <c r="D17" s="7" t="n">
        <v>657.9400000000001</v>
      </c>
      <c r="E17" s="7" t="n">
        <v>335.73</v>
      </c>
      <c r="F17" s="7" t="n">
        <v>-46.7</v>
      </c>
      <c r="G17" s="7" t="n">
        <v>344</v>
      </c>
      <c r="H17" s="15">
        <f>H13+H14+H15+H16</f>
        <v/>
      </c>
      <c r="I17" s="15">
        <f>I13+I14+I15+I16</f>
        <v/>
      </c>
      <c r="J17" s="15">
        <f>J13+J14+J15+J16</f>
        <v/>
      </c>
      <c r="K17" s="15">
        <f>K13+K14+K15+K16</f>
        <v/>
      </c>
      <c r="L17" s="15">
        <f>L13+L14+L15+L16</f>
        <v/>
      </c>
      <c r="M17" s="15">
        <f>M13+M14+M15+M16</f>
        <v/>
      </c>
      <c r="N17" s="15">
        <f>N13+N14+N15+N16</f>
        <v/>
      </c>
    </row>
    <row r="19">
      <c r="A19" s="6" t="inlineStr">
        <is>
          <t>Net increase / (decrease) in cash &amp; investments</t>
        </is>
      </c>
      <c r="B19" s="8">
        <f>B8+B11+B17</f>
        <v/>
      </c>
      <c r="C19" s="8">
        <f>C8+C11+C17</f>
        <v/>
      </c>
      <c r="D19" s="8">
        <f>D8+D11+D17</f>
        <v/>
      </c>
      <c r="E19" s="8">
        <f>E8+E11+E17</f>
        <v/>
      </c>
      <c r="F19" s="8">
        <f>F8+F11+F17</f>
        <v/>
      </c>
      <c r="G19" s="8">
        <f>G8+G11+G17</f>
        <v/>
      </c>
      <c r="H19" s="8">
        <f>H8+H11+H17</f>
        <v/>
      </c>
      <c r="I19" s="8">
        <f>I8+I11+I17</f>
        <v/>
      </c>
      <c r="J19" s="8">
        <f>J8+J11+J17</f>
        <v/>
      </c>
      <c r="K19" s="8">
        <f>K8+K11+K17</f>
        <v/>
      </c>
      <c r="L19" s="8">
        <f>L8+L11+L17</f>
        <v/>
      </c>
      <c r="M19" s="8">
        <f>M8+M11+M17</f>
        <v/>
      </c>
      <c r="N19" s="8">
        <f>N8+N11+N17</f>
        <v/>
      </c>
    </row>
    <row r="20">
      <c r="A20" s="11" t="inlineStr">
        <is>
          <t>Opening cash &amp; investments</t>
        </is>
      </c>
      <c r="H20" s="13">
        <f>G21</f>
        <v/>
      </c>
      <c r="I20" s="13">
        <f>H21</f>
        <v/>
      </c>
      <c r="J20" s="13">
        <f>I21</f>
        <v/>
      </c>
      <c r="K20" s="13">
        <f>J21</f>
        <v/>
      </c>
      <c r="L20" s="13">
        <f>K21</f>
        <v/>
      </c>
      <c r="M20" s="13">
        <f>L21</f>
        <v/>
      </c>
      <c r="N20" s="13">
        <f>M21</f>
        <v/>
      </c>
    </row>
    <row r="21">
      <c r="A21" s="6" t="inlineStr">
        <is>
          <t>Closing cash &amp; investments</t>
        </is>
      </c>
      <c r="B21" s="22">
        <f>'Balance Sheet'!B11</f>
        <v/>
      </c>
      <c r="C21" s="22">
        <f>'Balance Sheet'!C11</f>
        <v/>
      </c>
      <c r="D21" s="22">
        <f>'Balance Sheet'!D11</f>
        <v/>
      </c>
      <c r="E21" s="22">
        <f>'Balance Sheet'!E11</f>
        <v/>
      </c>
      <c r="F21" s="22">
        <f>'Balance Sheet'!F11</f>
        <v/>
      </c>
      <c r="G21" s="22">
        <f>'Balance Sheet'!G11</f>
        <v/>
      </c>
      <c r="H21" s="15">
        <f>H20+H19</f>
        <v/>
      </c>
      <c r="I21" s="15">
        <f>I20+I19</f>
        <v/>
      </c>
      <c r="J21" s="15">
        <f>J20+J19</f>
        <v/>
      </c>
      <c r="K21" s="15">
        <f>K20+K19</f>
        <v/>
      </c>
      <c r="L21" s="15">
        <f>L20+L19</f>
        <v/>
      </c>
      <c r="M21" s="15">
        <f>M20+M19</f>
        <v/>
      </c>
      <c r="N21" s="15">
        <f>N20+N19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Key Assumptions &amp; Forecast Drivers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All figures in Rs Crore unless stated. Blue = hard-coded input  |  Green = link  |  Black = formula. Historical columns are derived from reported financials; forecast columns (FY27-33) are driver inputs.</t>
        </is>
      </c>
    </row>
    <row r="3" ht="16" customHeight="1">
      <c r="A3" s="4" t="inlineStr">
        <is>
          <t>Driver</t>
        </is>
      </c>
      <c r="B3" s="5" t="inlineStr">
        <is>
          <t>FY2021A</t>
        </is>
      </c>
      <c r="C3" s="5" t="inlineStr">
        <is>
          <t>FY2022A</t>
        </is>
      </c>
      <c r="D3" s="5" t="inlineStr">
        <is>
          <t>FY2023A</t>
        </is>
      </c>
      <c r="E3" s="5" t="inlineStr">
        <is>
          <t>FY2024A</t>
        </is>
      </c>
      <c r="F3" s="5" t="inlineStr">
        <is>
          <t>FY2025A</t>
        </is>
      </c>
      <c r="G3" s="5" t="inlineStr">
        <is>
          <t>FY2026A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  <c r="L3" s="5" t="inlineStr">
        <is>
          <t>FY2031E</t>
        </is>
      </c>
      <c r="M3" s="5" t="inlineStr">
        <is>
          <t>FY2032E</t>
        </is>
      </c>
      <c r="N3" s="5" t="inlineStr">
        <is>
          <t>FY2033E</t>
        </is>
      </c>
    </row>
    <row r="5">
      <c r="A5" s="11" t="inlineStr">
        <is>
          <t>Revenue growth (%)</t>
        </is>
      </c>
      <c r="B5" s="23" t="inlineStr"/>
      <c r="C5" s="23">
        <f>IF('Profit &amp; Loss'!B4=0,"",'Profit &amp; Loss'!C4/'Profit &amp; Loss'!B4-1)</f>
        <v/>
      </c>
      <c r="D5" s="23">
        <f>IF('Profit &amp; Loss'!C4=0,"",'Profit &amp; Loss'!D4/'Profit &amp; Loss'!C4-1)</f>
        <v/>
      </c>
      <c r="E5" s="23">
        <f>IF('Profit &amp; Loss'!D4=0,"",'Profit &amp; Loss'!E4/'Profit &amp; Loss'!D4-1)</f>
        <v/>
      </c>
      <c r="F5" s="23">
        <f>IF('Profit &amp; Loss'!E4=0,"",'Profit &amp; Loss'!F4/'Profit &amp; Loss'!E4-1)</f>
        <v/>
      </c>
      <c r="G5" s="23">
        <f>IF('Profit &amp; Loss'!F4=0,"",'Profit &amp; Loss'!G4/'Profit &amp; Loss'!F4-1)</f>
        <v/>
      </c>
      <c r="H5" s="24" t="n">
        <v>0.2</v>
      </c>
      <c r="I5" s="24" t="n">
        <v>0.18</v>
      </c>
      <c r="J5" s="24" t="n">
        <v>0.16</v>
      </c>
      <c r="K5" s="24" t="n">
        <v>0.15</v>
      </c>
      <c r="L5" s="24" t="n">
        <v>0.14</v>
      </c>
      <c r="M5" s="24" t="n">
        <v>0.12</v>
      </c>
      <c r="N5" s="24" t="n">
        <v>0.11</v>
      </c>
    </row>
    <row r="6">
      <c r="A6" s="11" t="inlineStr">
        <is>
          <t>Material cost (% of revenue)</t>
        </is>
      </c>
      <c r="B6" s="23">
        <f>'Profit &amp; Loss'!B6/'Profit &amp; Loss'!B4</f>
        <v/>
      </c>
      <c r="C6" s="23">
        <f>'Profit &amp; Loss'!C6/'Profit &amp; Loss'!C4</f>
        <v/>
      </c>
      <c r="D6" s="23">
        <f>'Profit &amp; Loss'!D6/'Profit &amp; Loss'!D4</f>
        <v/>
      </c>
      <c r="E6" s="23">
        <f>'Profit &amp; Loss'!E6/'Profit &amp; Loss'!E4</f>
        <v/>
      </c>
      <c r="F6" s="23">
        <f>'Profit &amp; Loss'!F6/'Profit &amp; Loss'!F4</f>
        <v/>
      </c>
      <c r="G6" s="23">
        <f>'Profit &amp; Loss'!G6/'Profit &amp; Loss'!G4</f>
        <v/>
      </c>
      <c r="H6" s="24" t="n">
        <v>0.41</v>
      </c>
      <c r="I6" s="24" t="n">
        <v>0.41</v>
      </c>
      <c r="J6" s="24" t="n">
        <v>0.41</v>
      </c>
      <c r="K6" s="24" t="n">
        <v>0.41</v>
      </c>
      <c r="L6" s="24" t="n">
        <v>0.41</v>
      </c>
      <c r="M6" s="24" t="n">
        <v>0.41</v>
      </c>
      <c r="N6" s="24" t="n">
        <v>0.41</v>
      </c>
    </row>
    <row r="7">
      <c r="A7" s="11" t="inlineStr">
        <is>
          <t>Employee cost (% of revenue)</t>
        </is>
      </c>
      <c r="B7" s="23">
        <f>'Profit &amp; Loss'!B7/'Profit &amp; Loss'!B4</f>
        <v/>
      </c>
      <c r="C7" s="23">
        <f>'Profit &amp; Loss'!C7/'Profit &amp; Loss'!C4</f>
        <v/>
      </c>
      <c r="D7" s="23">
        <f>'Profit &amp; Loss'!D7/'Profit &amp; Loss'!D4</f>
        <v/>
      </c>
      <c r="E7" s="23">
        <f>'Profit &amp; Loss'!E7/'Profit &amp; Loss'!E4</f>
        <v/>
      </c>
      <c r="F7" s="23">
        <f>'Profit &amp; Loss'!F7/'Profit &amp; Loss'!F4</f>
        <v/>
      </c>
      <c r="G7" s="23">
        <f>'Profit &amp; Loss'!G7/'Profit &amp; Loss'!G4</f>
        <v/>
      </c>
      <c r="H7" s="24" t="n">
        <v>0.1</v>
      </c>
      <c r="I7" s="24" t="n">
        <v>0.1</v>
      </c>
      <c r="J7" s="24" t="n">
        <v>0.105</v>
      </c>
      <c r="K7" s="24" t="n">
        <v>0.105</v>
      </c>
      <c r="L7" s="24" t="n">
        <v>0.11</v>
      </c>
      <c r="M7" s="24" t="n">
        <v>0.11</v>
      </c>
      <c r="N7" s="24" t="n">
        <v>0.11</v>
      </c>
    </row>
    <row r="8">
      <c r="A8" s="11" t="inlineStr">
        <is>
          <t>Other expenses (% of revenue)</t>
        </is>
      </c>
      <c r="B8" s="23">
        <f>'Profit &amp; Loss'!B8/'Profit &amp; Loss'!B4</f>
        <v/>
      </c>
      <c r="C8" s="23">
        <f>'Profit &amp; Loss'!C8/'Profit &amp; Loss'!C4</f>
        <v/>
      </c>
      <c r="D8" s="23">
        <f>'Profit &amp; Loss'!D8/'Profit &amp; Loss'!D4</f>
        <v/>
      </c>
      <c r="E8" s="23">
        <f>'Profit &amp; Loss'!E8/'Profit &amp; Loss'!E4</f>
        <v/>
      </c>
      <c r="F8" s="23">
        <f>'Profit &amp; Loss'!F8/'Profit &amp; Loss'!F4</f>
        <v/>
      </c>
      <c r="G8" s="23">
        <f>'Profit &amp; Loss'!G8/'Profit &amp; Loss'!G4</f>
        <v/>
      </c>
      <c r="H8" s="24" t="n">
        <v>0.18</v>
      </c>
      <c r="I8" s="24" t="n">
        <v>0.185</v>
      </c>
      <c r="J8" s="24" t="n">
        <v>0.185</v>
      </c>
      <c r="K8" s="24" t="n">
        <v>0.185</v>
      </c>
      <c r="L8" s="24" t="n">
        <v>0.185</v>
      </c>
      <c r="M8" s="24" t="n">
        <v>0.185</v>
      </c>
      <c r="N8" s="24" t="n">
        <v>0.185</v>
      </c>
    </row>
    <row r="9">
      <c r="A9" s="11" t="inlineStr">
        <is>
          <t>Other income (% of revenue)</t>
        </is>
      </c>
      <c r="B9" s="23">
        <f>'Profit &amp; Loss'!B14/'Profit &amp; Loss'!B4</f>
        <v/>
      </c>
      <c r="C9" s="23">
        <f>'Profit &amp; Loss'!C14/'Profit &amp; Loss'!C4</f>
        <v/>
      </c>
      <c r="D9" s="23">
        <f>'Profit &amp; Loss'!D14/'Profit &amp; Loss'!D4</f>
        <v/>
      </c>
      <c r="E9" s="23">
        <f>'Profit &amp; Loss'!E14/'Profit &amp; Loss'!E4</f>
        <v/>
      </c>
      <c r="F9" s="23">
        <f>'Profit &amp; Loss'!F14/'Profit &amp; Loss'!F4</f>
        <v/>
      </c>
      <c r="G9" s="23">
        <f>'Profit &amp; Loss'!G14/'Profit &amp; Loss'!G4</f>
        <v/>
      </c>
      <c r="H9" s="24" t="n">
        <v>0.015</v>
      </c>
      <c r="I9" s="24" t="n">
        <v>0.015</v>
      </c>
      <c r="J9" s="24" t="n">
        <v>0.015</v>
      </c>
      <c r="K9" s="24" t="n">
        <v>0.015</v>
      </c>
      <c r="L9" s="24" t="n">
        <v>0.015</v>
      </c>
      <c r="M9" s="24" t="n">
        <v>0.015</v>
      </c>
      <c r="N9" s="24" t="n">
        <v>0.015</v>
      </c>
    </row>
    <row r="10">
      <c r="A10" s="11" t="inlineStr">
        <is>
          <t>Depreciation (% of opening net block)</t>
        </is>
      </c>
      <c r="B10" s="23" t="inlineStr"/>
      <c r="C10" s="23">
        <f>IF('Balance Sheet'!B5=0,"",'Profit &amp; Loss'!C12/'Balance Sheet'!B5)</f>
        <v/>
      </c>
      <c r="D10" s="23">
        <f>IF('Balance Sheet'!C5=0,"",'Profit &amp; Loss'!D12/'Balance Sheet'!C5)</f>
        <v/>
      </c>
      <c r="E10" s="23">
        <f>IF('Balance Sheet'!D5=0,"",'Profit &amp; Loss'!E12/'Balance Sheet'!D5)</f>
        <v/>
      </c>
      <c r="F10" s="23">
        <f>IF('Balance Sheet'!E5=0,"",'Profit &amp; Loss'!F12/'Balance Sheet'!E5)</f>
        <v/>
      </c>
      <c r="G10" s="23">
        <f>IF('Balance Sheet'!F5=0,"",'Profit &amp; Loss'!G12/'Balance Sheet'!F5)</f>
        <v/>
      </c>
      <c r="H10" s="24" t="n">
        <v>0.06</v>
      </c>
      <c r="I10" s="24" t="n">
        <v>0.06</v>
      </c>
      <c r="J10" s="24" t="n">
        <v>0.06</v>
      </c>
      <c r="K10" s="24" t="n">
        <v>0.06</v>
      </c>
      <c r="L10" s="24" t="n">
        <v>0.06</v>
      </c>
      <c r="M10" s="24" t="n">
        <v>0.06</v>
      </c>
      <c r="N10" s="24" t="n">
        <v>0.06</v>
      </c>
    </row>
    <row r="11">
      <c r="A11" s="11" t="inlineStr">
        <is>
          <t>Capital expenditure (Rs Cr)</t>
        </is>
      </c>
      <c r="B11" s="25" t="n">
        <v>98.69</v>
      </c>
      <c r="C11" s="25" t="n">
        <v>578.89</v>
      </c>
      <c r="D11" s="25" t="n">
        <v>757.71</v>
      </c>
      <c r="E11" s="25" t="n">
        <v>732.39</v>
      </c>
      <c r="F11" s="25" t="n">
        <v>561.14</v>
      </c>
      <c r="G11" s="25" t="n">
        <v>490</v>
      </c>
      <c r="H11" s="26" t="n">
        <v>600</v>
      </c>
      <c r="I11" s="26" t="n">
        <v>550</v>
      </c>
      <c r="J11" s="26" t="n">
        <v>525</v>
      </c>
      <c r="K11" s="26" t="n">
        <v>500</v>
      </c>
      <c r="L11" s="26" t="n">
        <v>475</v>
      </c>
      <c r="M11" s="26" t="n">
        <v>450</v>
      </c>
      <c r="N11" s="26" t="n">
        <v>450</v>
      </c>
    </row>
    <row r="12">
      <c r="A12" s="11" t="inlineStr">
        <is>
          <t>Effective tax rate (%)</t>
        </is>
      </c>
      <c r="B12" s="23">
        <f>IF('Profit &amp; Loss'!B18=0,"",'Profit &amp; Loss'!B19/'Profit &amp; Loss'!B18)</f>
        <v/>
      </c>
      <c r="C12" s="23">
        <f>IF('Profit &amp; Loss'!C18=0,"",'Profit &amp; Loss'!C19/'Profit &amp; Loss'!C18)</f>
        <v/>
      </c>
      <c r="D12" s="23">
        <f>IF('Profit &amp; Loss'!D18=0,"",'Profit &amp; Loss'!D19/'Profit &amp; Loss'!D18)</f>
        <v/>
      </c>
      <c r="E12" s="23">
        <f>IF('Profit &amp; Loss'!E18=0,"",'Profit &amp; Loss'!E19/'Profit &amp; Loss'!E18)</f>
        <v/>
      </c>
      <c r="F12" s="23">
        <f>IF('Profit &amp; Loss'!F18=0,"",'Profit &amp; Loss'!F19/'Profit &amp; Loss'!F18)</f>
        <v/>
      </c>
      <c r="G12" s="23">
        <f>IF('Profit &amp; Loss'!G18=0,"",'Profit &amp; Loss'!G19/'Profit &amp; Loss'!G18)</f>
        <v/>
      </c>
      <c r="H12" s="24" t="n">
        <v>0.25</v>
      </c>
      <c r="I12" s="24" t="n">
        <v>0.25</v>
      </c>
      <c r="J12" s="24" t="n">
        <v>0.25</v>
      </c>
      <c r="K12" s="24" t="n">
        <v>0.25</v>
      </c>
      <c r="L12" s="24" t="n">
        <v>0.25</v>
      </c>
      <c r="M12" s="24" t="n">
        <v>0.25</v>
      </c>
      <c r="N12" s="24" t="n">
        <v>0.25</v>
      </c>
    </row>
    <row r="13">
      <c r="A13" s="11" t="inlineStr">
        <is>
          <t>Dividend payout ratio (%)</t>
        </is>
      </c>
      <c r="B13" s="27" t="inlineStr"/>
      <c r="C13" s="27" t="inlineStr"/>
      <c r="D13" s="27" t="inlineStr"/>
      <c r="E13" s="27" t="inlineStr"/>
      <c r="F13" s="27" t="inlineStr"/>
      <c r="G13" s="27" t="inlineStr"/>
      <c r="H13" s="24" t="n">
        <v>0.15</v>
      </c>
      <c r="I13" s="24" t="n">
        <v>0.15</v>
      </c>
      <c r="J13" s="24" t="n">
        <v>0.15</v>
      </c>
      <c r="K13" s="24" t="n">
        <v>0.15</v>
      </c>
      <c r="L13" s="24" t="n">
        <v>0.15</v>
      </c>
      <c r="M13" s="24" t="n">
        <v>0.15</v>
      </c>
      <c r="N13" s="24" t="n">
        <v>0.15</v>
      </c>
    </row>
    <row r="14">
      <c r="A14" s="11" t="inlineStr">
        <is>
          <t>Debtor days (on revenue)</t>
        </is>
      </c>
      <c r="B14" s="28">
        <f>'Balance Sheet'!B10/'Profit &amp; Loss'!B4*365</f>
        <v/>
      </c>
      <c r="C14" s="28">
        <f>'Balance Sheet'!C10/'Profit &amp; Loss'!C4*365</f>
        <v/>
      </c>
      <c r="D14" s="28">
        <f>'Balance Sheet'!D10/'Profit &amp; Loss'!D4*365</f>
        <v/>
      </c>
      <c r="E14" s="28">
        <f>'Balance Sheet'!E10/'Profit &amp; Loss'!E4*365</f>
        <v/>
      </c>
      <c r="F14" s="28">
        <f>'Balance Sheet'!F10/'Profit &amp; Loss'!F4*365</f>
        <v/>
      </c>
      <c r="G14" s="28">
        <f>'Balance Sheet'!G10/'Profit &amp; Loss'!G4*365</f>
        <v/>
      </c>
      <c r="H14" s="29" t="n">
        <v>85</v>
      </c>
      <c r="I14" s="29" t="n">
        <v>85</v>
      </c>
      <c r="J14" s="29" t="n">
        <v>85</v>
      </c>
      <c r="K14" s="29" t="n">
        <v>85</v>
      </c>
      <c r="L14" s="29" t="n">
        <v>85</v>
      </c>
      <c r="M14" s="29" t="n">
        <v>85</v>
      </c>
      <c r="N14" s="29" t="n">
        <v>85</v>
      </c>
    </row>
    <row r="15">
      <c r="A15" s="11" t="inlineStr">
        <is>
          <t>Inventory days (on material cost)</t>
        </is>
      </c>
      <c r="B15" s="28">
        <f>'Balance Sheet'!B9/'Profit &amp; Loss'!B6*365</f>
        <v/>
      </c>
      <c r="C15" s="28">
        <f>'Balance Sheet'!C9/'Profit &amp; Loss'!C6*365</f>
        <v/>
      </c>
      <c r="D15" s="28">
        <f>'Balance Sheet'!D9/'Profit &amp; Loss'!D6*365</f>
        <v/>
      </c>
      <c r="E15" s="28">
        <f>'Balance Sheet'!E9/'Profit &amp; Loss'!E6*365</f>
        <v/>
      </c>
      <c r="F15" s="28">
        <f>'Balance Sheet'!F9/'Profit &amp; Loss'!F6*365</f>
        <v/>
      </c>
      <c r="G15" s="28">
        <f>'Balance Sheet'!G9/'Profit &amp; Loss'!G6*365</f>
        <v/>
      </c>
      <c r="H15" s="29" t="n">
        <v>115</v>
      </c>
      <c r="I15" s="29" t="n">
        <v>115</v>
      </c>
      <c r="J15" s="29" t="n">
        <v>115</v>
      </c>
      <c r="K15" s="29" t="n">
        <v>115</v>
      </c>
      <c r="L15" s="29" t="n">
        <v>115</v>
      </c>
      <c r="M15" s="29" t="n">
        <v>115</v>
      </c>
      <c r="N15" s="29" t="n">
        <v>115</v>
      </c>
    </row>
    <row r="16">
      <c r="A16" s="11" t="inlineStr">
        <is>
          <t>Payable days (on material cost)</t>
        </is>
      </c>
      <c r="B16" s="28">
        <f>'Balance Sheet'!B21/'Profit &amp; Loss'!B6*365</f>
        <v/>
      </c>
      <c r="C16" s="28">
        <f>'Balance Sheet'!C21/'Profit &amp; Loss'!C6*365</f>
        <v/>
      </c>
      <c r="D16" s="28">
        <f>'Balance Sheet'!D21/'Profit &amp; Loss'!D6*365</f>
        <v/>
      </c>
      <c r="E16" s="28">
        <f>'Balance Sheet'!E21/'Profit &amp; Loss'!E6*365</f>
        <v/>
      </c>
      <c r="F16" s="28">
        <f>'Balance Sheet'!F21/'Profit &amp; Loss'!F6*365</f>
        <v/>
      </c>
      <c r="G16" s="28">
        <f>'Balance Sheet'!G21/'Profit &amp; Loss'!G6*365</f>
        <v/>
      </c>
      <c r="H16" s="29" t="n">
        <v>130</v>
      </c>
      <c r="I16" s="29" t="n">
        <v>130</v>
      </c>
      <c r="J16" s="29" t="n">
        <v>130</v>
      </c>
      <c r="K16" s="29" t="n">
        <v>130</v>
      </c>
      <c r="L16" s="29" t="n">
        <v>130</v>
      </c>
      <c r="M16" s="29" t="n">
        <v>130</v>
      </c>
      <c r="N16" s="29" t="n">
        <v>130</v>
      </c>
    </row>
    <row r="17">
      <c r="A17" s="11" t="inlineStr">
        <is>
          <t>Other current assets (% of revenue)</t>
        </is>
      </c>
      <c r="B17" s="23">
        <f>'Balance Sheet'!B12/'Profit &amp; Loss'!B4</f>
        <v/>
      </c>
      <c r="C17" s="23">
        <f>'Balance Sheet'!C12/'Profit &amp; Loss'!C4</f>
        <v/>
      </c>
      <c r="D17" s="23">
        <f>'Balance Sheet'!D12/'Profit &amp; Loss'!D4</f>
        <v/>
      </c>
      <c r="E17" s="23">
        <f>'Balance Sheet'!E12/'Profit &amp; Loss'!E4</f>
        <v/>
      </c>
      <c r="F17" s="23">
        <f>'Balance Sheet'!F12/'Profit &amp; Loss'!F4</f>
        <v/>
      </c>
      <c r="G17" s="23">
        <f>'Balance Sheet'!G12/'Profit &amp; Loss'!G4</f>
        <v/>
      </c>
      <c r="H17" s="24" t="n">
        <v>0.06</v>
      </c>
      <c r="I17" s="24" t="n">
        <v>0.06</v>
      </c>
      <c r="J17" s="24" t="n">
        <v>0.06</v>
      </c>
      <c r="K17" s="24" t="n">
        <v>0.06</v>
      </c>
      <c r="L17" s="24" t="n">
        <v>0.06</v>
      </c>
      <c r="M17" s="24" t="n">
        <v>0.06</v>
      </c>
      <c r="N17" s="24" t="n">
        <v>0.06</v>
      </c>
    </row>
    <row r="18">
      <c r="A18" s="11" t="inlineStr">
        <is>
          <t>Other current liabilities (% of revenue)</t>
        </is>
      </c>
      <c r="B18" s="23">
        <f>'Balance Sheet'!B22/'Profit &amp; Loss'!B4</f>
        <v/>
      </c>
      <c r="C18" s="23">
        <f>'Balance Sheet'!C22/'Profit &amp; Loss'!C4</f>
        <v/>
      </c>
      <c r="D18" s="23">
        <f>'Balance Sheet'!D22/'Profit &amp; Loss'!D4</f>
        <v/>
      </c>
      <c r="E18" s="23">
        <f>'Balance Sheet'!E22/'Profit &amp; Loss'!E4</f>
        <v/>
      </c>
      <c r="F18" s="23">
        <f>'Balance Sheet'!F22/'Profit &amp; Loss'!F4</f>
        <v/>
      </c>
      <c r="G18" s="23">
        <f>'Balance Sheet'!G22/'Profit &amp; Loss'!G4</f>
        <v/>
      </c>
      <c r="H18" s="24" t="n">
        <v>0.07000000000000001</v>
      </c>
      <c r="I18" s="24" t="n">
        <v>0.07000000000000001</v>
      </c>
      <c r="J18" s="24" t="n">
        <v>0.07000000000000001</v>
      </c>
      <c r="K18" s="24" t="n">
        <v>0.07000000000000001</v>
      </c>
      <c r="L18" s="24" t="n">
        <v>0.07000000000000001</v>
      </c>
      <c r="M18" s="24" t="n">
        <v>0.07000000000000001</v>
      </c>
      <c r="N18" s="24" t="n">
        <v>0.07000000000000001</v>
      </c>
    </row>
    <row r="19">
      <c r="A19" s="11" t="inlineStr">
        <is>
          <t>Closing borrowings (Rs Cr)</t>
        </is>
      </c>
      <c r="B19" s="30">
        <f>'Balance Sheet'!B18</f>
        <v/>
      </c>
      <c r="C19" s="30">
        <f>'Balance Sheet'!C18</f>
        <v/>
      </c>
      <c r="D19" s="30">
        <f>'Balance Sheet'!D18</f>
        <v/>
      </c>
      <c r="E19" s="30">
        <f>'Balance Sheet'!E18</f>
        <v/>
      </c>
      <c r="F19" s="30">
        <f>'Balance Sheet'!F18</f>
        <v/>
      </c>
      <c r="G19" s="30">
        <f>'Balance Sheet'!G18</f>
        <v/>
      </c>
      <c r="H19" s="26" t="n">
        <v>1150</v>
      </c>
      <c r="I19" s="26" t="n">
        <v>1000</v>
      </c>
      <c r="J19" s="26" t="n">
        <v>850</v>
      </c>
      <c r="K19" s="26" t="n">
        <v>700</v>
      </c>
      <c r="L19" s="26" t="n">
        <v>600</v>
      </c>
      <c r="M19" s="26" t="n">
        <v>500</v>
      </c>
      <c r="N19" s="26" t="n">
        <v>400</v>
      </c>
    </row>
    <row r="20">
      <c r="A20" s="11" t="inlineStr">
        <is>
          <t>Interest rate on borrowings (%)</t>
        </is>
      </c>
      <c r="B20" s="23" t="inlineStr"/>
      <c r="C20" s="23">
        <f>IF('Balance Sheet'!B18=0,"",'Profit &amp; Loss'!C15/(('Balance Sheet'!B18+'Balance Sheet'!C18)/2))</f>
        <v/>
      </c>
      <c r="D20" s="23">
        <f>IF('Balance Sheet'!C18=0,"",'Profit &amp; Loss'!D15/(('Balance Sheet'!C18+'Balance Sheet'!D18)/2))</f>
        <v/>
      </c>
      <c r="E20" s="23">
        <f>IF('Balance Sheet'!D18=0,"",'Profit &amp; Loss'!E15/(('Balance Sheet'!D18+'Balance Sheet'!E18)/2))</f>
        <v/>
      </c>
      <c r="F20" s="23">
        <f>IF('Balance Sheet'!E18=0,"",'Profit &amp; Loss'!F15/(('Balance Sheet'!E18+'Balance Sheet'!F18)/2))</f>
        <v/>
      </c>
      <c r="G20" s="23">
        <f>IF('Balance Sheet'!F18=0,"",'Profit &amp; Loss'!G15/(('Balance Sheet'!F18+'Balance Sheet'!G18)/2))</f>
        <v/>
      </c>
      <c r="H20" s="24" t="n">
        <v>0.075</v>
      </c>
      <c r="I20" s="24" t="n">
        <v>0.075</v>
      </c>
      <c r="J20" s="24" t="n">
        <v>0.075</v>
      </c>
      <c r="K20" s="24" t="n">
        <v>0.075</v>
      </c>
      <c r="L20" s="24" t="n">
        <v>0.075</v>
      </c>
      <c r="M20" s="24" t="n">
        <v>0.075</v>
      </c>
      <c r="N20" s="24" t="n">
        <v>0.075</v>
      </c>
    </row>
    <row r="23">
      <c r="A23" s="18" t="inlineStr">
        <is>
          <t>Assumption rationale &amp; sources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</row>
    <row r="24" ht="42" customHeight="1">
      <c r="A24" s="6" t="inlineStr">
        <is>
          <t>Revenue growth</t>
        </is>
      </c>
      <c r="B24" s="31" t="inlineStr">
        <is>
          <t>FY26 grew 41% on ramp-up of the multi-year specialty/CDMO contract, agro-specialties recovery and HPP (R-32/HFO) scale-up. Forecast tapers 20%-&gt;11% (~15% CAGR FY26-33), in line with management's ~20% near-term guidance and brokerage estimates (Motilal Oswal ~20% rev CAGR FY26-28), moderating as the base enlarges. Sources: FY25 AR, Q4FY26 results, earnings calls.</t>
        </is>
      </c>
    </row>
    <row r="25" ht="42" customHeight="1">
      <c r="A25" s="6" t="inlineStr">
        <is>
          <t>Material cost % of revenue</t>
        </is>
      </c>
      <c r="B25" s="31" t="inlineStr">
        <is>
          <t>Held at ~41% (vs 43-45% historical) reflecting a richer mix of high-value HPP/CDMO products that lifted FY26 gross margin. Source: historical consolidated P&amp;L, management commentary on premiumisation.</t>
        </is>
      </c>
    </row>
    <row r="26" ht="42" customHeight="1">
      <c r="A26" s="6" t="inlineStr">
        <is>
          <t>Employee &amp; other expenses</t>
        </is>
      </c>
      <c r="B26" s="31" t="inlineStr">
        <is>
          <t>Modelled as % of revenue near recent levels with mild operating-leverage normalisation; combined with material cost gives EBITDA margin ~29.5-31% (FY26 32.6%, hist 19-26%). Source: historical cost structure, mgmt margin guidance of high-20s%+.</t>
        </is>
      </c>
    </row>
    <row r="27" ht="42" customHeight="1">
      <c r="A27" s="6" t="inlineStr">
        <is>
          <t>Other income</t>
        </is>
      </c>
      <c r="B27" s="31" t="inlineStr">
        <is>
          <t>~1.5% of revenue, treasury yield on the surplus cash / investments (incl. QIP proceeds). Source: historical other income trend.</t>
        </is>
      </c>
    </row>
    <row r="28" ht="42" customHeight="1">
      <c r="A28" s="6" t="inlineStr">
        <is>
          <t>Depreciation</t>
        </is>
      </c>
      <c r="B28" s="31" t="inlineStr">
        <is>
          <t>Linked to the fixed-asset schedule at ~6.0% of opening net block as CWIP commissions into PP&amp;E. Source: historical depreciation/gross-block relationship.</t>
        </is>
      </c>
    </row>
    <row r="29" ht="42" customHeight="1">
      <c r="A29" s="6" t="inlineStr">
        <is>
          <t>Capital expenditure</t>
        </is>
      </c>
      <c r="B29" s="31" t="inlineStr">
        <is>
          <t>Rs 450-600 Cr p.a. covering announced expansions (Surat HFC/R-32 ~Rs236 Cr, Dahej fluoro-specialty &amp; MPP/cGMP-4 CDMO, agro-specialty). Tapers as the major capex cycle matures. Source: FY25 AR, investor presentations, exchange filings.</t>
        </is>
      </c>
    </row>
    <row r="30" ht="42" customHeight="1">
      <c r="A30" s="6" t="inlineStr">
        <is>
          <t>Working capital</t>
        </is>
      </c>
      <c r="B30" s="31" t="inlineStr">
        <is>
          <t>Debtor ~85d, inventory ~115d, payable ~130d (on material cost) consistent with FY24-26 averages; other CA/CL as % of revenue. Source: historical balance sheets / Screener working-capital history.</t>
        </is>
      </c>
    </row>
    <row r="31" ht="42" customHeight="1">
      <c r="A31" s="6" t="inlineStr">
        <is>
          <t>Borrowings &amp; interest</t>
        </is>
      </c>
      <c r="B31" s="31" t="inlineStr">
        <is>
          <t>Gradual deleveraging post the Rs750 Cr QIP (Jul-2025); closing debt Rs1,150-&gt;Rs400 Cr; ~7.5% blended cost on average borrowings. Source: FY26 balance sheet, CARE credit-rating updates.</t>
        </is>
      </c>
    </row>
    <row r="32" ht="42" customHeight="1">
      <c r="A32" s="6" t="inlineStr">
        <is>
          <t>Tax rate</t>
        </is>
      </c>
      <c r="B32" s="31" t="inlineStr">
        <is>
          <t>25% effective, in line with the new-regime statutory rate (~25.17%) and FY24-26 effective range of 19-24%. Source: historical tax expense.</t>
        </is>
      </c>
    </row>
    <row r="33" ht="42" customHeight="1">
      <c r="A33" s="6" t="inlineStr">
        <is>
          <t>Dividend payout</t>
        </is>
      </c>
      <c r="B33" s="31" t="inlineStr">
        <is>
          <t>15% of PAT, around the company's historical 12-27% payout band. Source: dividend history.</t>
        </is>
      </c>
    </row>
  </sheetData>
  <mergeCells count="10">
    <mergeCell ref="B31:N31"/>
    <mergeCell ref="B27:N27"/>
    <mergeCell ref="B32:N32"/>
    <mergeCell ref="B26:N26"/>
    <mergeCell ref="B30:N30"/>
    <mergeCell ref="B29:N29"/>
    <mergeCell ref="B33:N33"/>
    <mergeCell ref="B25:N25"/>
    <mergeCell ref="B24:N24"/>
    <mergeCell ref="B28:N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Working Capital Schedule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Rs Crore. Operating working capital driven by debtor / inventory / payable days. Feeds the Balance Sheet and Cash Flow Statement.</t>
        </is>
      </c>
    </row>
    <row r="3" ht="16" customHeight="1">
      <c r="A3" s="4" t="inlineStr">
        <is>
          <t>Particulars</t>
        </is>
      </c>
      <c r="B3" s="5" t="inlineStr">
        <is>
          <t>FY2021A</t>
        </is>
      </c>
      <c r="C3" s="5" t="inlineStr">
        <is>
          <t>FY2022A</t>
        </is>
      </c>
      <c r="D3" s="5" t="inlineStr">
        <is>
          <t>FY2023A</t>
        </is>
      </c>
      <c r="E3" s="5" t="inlineStr">
        <is>
          <t>FY2024A</t>
        </is>
      </c>
      <c r="F3" s="5" t="inlineStr">
        <is>
          <t>FY2025A</t>
        </is>
      </c>
      <c r="G3" s="5" t="inlineStr">
        <is>
          <t>FY2026A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  <c r="L3" s="5" t="inlineStr">
        <is>
          <t>FY2031E</t>
        </is>
      </c>
      <c r="M3" s="5" t="inlineStr">
        <is>
          <t>FY2032E</t>
        </is>
      </c>
      <c r="N3" s="5" t="inlineStr">
        <is>
          <t>FY2033E</t>
        </is>
      </c>
    </row>
    <row r="4">
      <c r="A4" s="11" t="inlineStr">
        <is>
          <t>Revenue</t>
        </is>
      </c>
      <c r="B4" s="16">
        <f>'Profit &amp; Loss'!B4</f>
        <v/>
      </c>
      <c r="C4" s="16">
        <f>'Profit &amp; Loss'!C4</f>
        <v/>
      </c>
      <c r="D4" s="16">
        <f>'Profit &amp; Loss'!D4</f>
        <v/>
      </c>
      <c r="E4" s="16">
        <f>'Profit &amp; Loss'!E4</f>
        <v/>
      </c>
      <c r="F4" s="16">
        <f>'Profit &amp; Loss'!F4</f>
        <v/>
      </c>
      <c r="G4" s="16">
        <f>'Profit &amp; Loss'!G4</f>
        <v/>
      </c>
      <c r="H4" s="16">
        <f>'Profit &amp; Loss'!H4</f>
        <v/>
      </c>
      <c r="I4" s="16">
        <f>'Profit &amp; Loss'!I4</f>
        <v/>
      </c>
      <c r="J4" s="16">
        <f>'Profit &amp; Loss'!J4</f>
        <v/>
      </c>
      <c r="K4" s="16">
        <f>'Profit &amp; Loss'!K4</f>
        <v/>
      </c>
      <c r="L4" s="16">
        <f>'Profit &amp; Loss'!L4</f>
        <v/>
      </c>
      <c r="M4" s="16">
        <f>'Profit &amp; Loss'!M4</f>
        <v/>
      </c>
      <c r="N4" s="16">
        <f>'Profit &amp; Loss'!N4</f>
        <v/>
      </c>
    </row>
    <row r="5">
      <c r="A5" s="11" t="inlineStr">
        <is>
          <t>Material cost (COGS)</t>
        </is>
      </c>
      <c r="B5" s="16">
        <f>'Profit &amp; Loss'!B6</f>
        <v/>
      </c>
      <c r="C5" s="16">
        <f>'Profit &amp; Loss'!C6</f>
        <v/>
      </c>
      <c r="D5" s="16">
        <f>'Profit &amp; Loss'!D6</f>
        <v/>
      </c>
      <c r="E5" s="16">
        <f>'Profit &amp; Loss'!E6</f>
        <v/>
      </c>
      <c r="F5" s="16">
        <f>'Profit &amp; Loss'!F6</f>
        <v/>
      </c>
      <c r="G5" s="16">
        <f>'Profit &amp; Loss'!G6</f>
        <v/>
      </c>
      <c r="H5" s="16">
        <f>'Profit &amp; Loss'!H6</f>
        <v/>
      </c>
      <c r="I5" s="16">
        <f>'Profit &amp; Loss'!I6</f>
        <v/>
      </c>
      <c r="J5" s="16">
        <f>'Profit &amp; Loss'!J6</f>
        <v/>
      </c>
      <c r="K5" s="16">
        <f>'Profit &amp; Loss'!K6</f>
        <v/>
      </c>
      <c r="L5" s="16">
        <f>'Profit &amp; Loss'!L6</f>
        <v/>
      </c>
      <c r="M5" s="16">
        <f>'Profit &amp; Loss'!M6</f>
        <v/>
      </c>
      <c r="N5" s="16">
        <f>'Profit &amp; Loss'!N6</f>
        <v/>
      </c>
    </row>
    <row r="6">
      <c r="A6" s="11" t="inlineStr">
        <is>
          <t>Trade receivables</t>
        </is>
      </c>
      <c r="B6" s="16">
        <f>'Balance Sheet'!B10</f>
        <v/>
      </c>
      <c r="C6" s="16">
        <f>'Balance Sheet'!C10</f>
        <v/>
      </c>
      <c r="D6" s="16">
        <f>'Balance Sheet'!D10</f>
        <v/>
      </c>
      <c r="E6" s="16">
        <f>'Balance Sheet'!E10</f>
        <v/>
      </c>
      <c r="F6" s="16">
        <f>'Balance Sheet'!F10</f>
        <v/>
      </c>
      <c r="G6" s="16">
        <f>'Balance Sheet'!G10</f>
        <v/>
      </c>
      <c r="H6" s="13">
        <f>Assumptions!H14/365*H4</f>
        <v/>
      </c>
      <c r="I6" s="13">
        <f>Assumptions!I14/365*I4</f>
        <v/>
      </c>
      <c r="J6" s="13">
        <f>Assumptions!J14/365*J4</f>
        <v/>
      </c>
      <c r="K6" s="13">
        <f>Assumptions!K14/365*K4</f>
        <v/>
      </c>
      <c r="L6" s="13">
        <f>Assumptions!L14/365*L4</f>
        <v/>
      </c>
      <c r="M6" s="13">
        <f>Assumptions!M14/365*M4</f>
        <v/>
      </c>
      <c r="N6" s="13">
        <f>Assumptions!N14/365*N4</f>
        <v/>
      </c>
    </row>
    <row r="7">
      <c r="A7" s="11" t="inlineStr">
        <is>
          <t>Inventories</t>
        </is>
      </c>
      <c r="B7" s="16">
        <f>'Balance Sheet'!B9</f>
        <v/>
      </c>
      <c r="C7" s="16">
        <f>'Balance Sheet'!C9</f>
        <v/>
      </c>
      <c r="D7" s="16">
        <f>'Balance Sheet'!D9</f>
        <v/>
      </c>
      <c r="E7" s="16">
        <f>'Balance Sheet'!E9</f>
        <v/>
      </c>
      <c r="F7" s="16">
        <f>'Balance Sheet'!F9</f>
        <v/>
      </c>
      <c r="G7" s="16">
        <f>'Balance Sheet'!G9</f>
        <v/>
      </c>
      <c r="H7" s="13">
        <f>Assumptions!H15/365*H5</f>
        <v/>
      </c>
      <c r="I7" s="13">
        <f>Assumptions!I15/365*I5</f>
        <v/>
      </c>
      <c r="J7" s="13">
        <f>Assumptions!J15/365*J5</f>
        <v/>
      </c>
      <c r="K7" s="13">
        <f>Assumptions!K15/365*K5</f>
        <v/>
      </c>
      <c r="L7" s="13">
        <f>Assumptions!L15/365*L5</f>
        <v/>
      </c>
      <c r="M7" s="13">
        <f>Assumptions!M15/365*M5</f>
        <v/>
      </c>
      <c r="N7" s="13">
        <f>Assumptions!N15/365*N5</f>
        <v/>
      </c>
    </row>
    <row r="8">
      <c r="A8" s="11" t="inlineStr">
        <is>
          <t>Other current assets</t>
        </is>
      </c>
      <c r="B8" s="16">
        <f>'Balance Sheet'!B12</f>
        <v/>
      </c>
      <c r="C8" s="16">
        <f>'Balance Sheet'!C12</f>
        <v/>
      </c>
      <c r="D8" s="16">
        <f>'Balance Sheet'!D12</f>
        <v/>
      </c>
      <c r="E8" s="16">
        <f>'Balance Sheet'!E12</f>
        <v/>
      </c>
      <c r="F8" s="16">
        <f>'Balance Sheet'!F12</f>
        <v/>
      </c>
      <c r="G8" s="16">
        <f>'Balance Sheet'!G12</f>
        <v/>
      </c>
      <c r="H8" s="13">
        <f>Assumptions!H17*H4</f>
        <v/>
      </c>
      <c r="I8" s="13">
        <f>Assumptions!I17*I4</f>
        <v/>
      </c>
      <c r="J8" s="13">
        <f>Assumptions!J17*J4</f>
        <v/>
      </c>
      <c r="K8" s="13">
        <f>Assumptions!K17*K4</f>
        <v/>
      </c>
      <c r="L8" s="13">
        <f>Assumptions!L17*L4</f>
        <v/>
      </c>
      <c r="M8" s="13">
        <f>Assumptions!M17*M4</f>
        <v/>
      </c>
      <c r="N8" s="13">
        <f>Assumptions!N17*N4</f>
        <v/>
      </c>
    </row>
    <row r="9">
      <c r="A9" s="11" t="inlineStr">
        <is>
          <t>Trade payables</t>
        </is>
      </c>
      <c r="B9" s="16">
        <f>'Balance Sheet'!B21</f>
        <v/>
      </c>
      <c r="C9" s="16">
        <f>'Balance Sheet'!C21</f>
        <v/>
      </c>
      <c r="D9" s="16">
        <f>'Balance Sheet'!D21</f>
        <v/>
      </c>
      <c r="E9" s="16">
        <f>'Balance Sheet'!E21</f>
        <v/>
      </c>
      <c r="F9" s="16">
        <f>'Balance Sheet'!F21</f>
        <v/>
      </c>
      <c r="G9" s="16">
        <f>'Balance Sheet'!G21</f>
        <v/>
      </c>
      <c r="H9" s="13">
        <f>Assumptions!H16/365*H5</f>
        <v/>
      </c>
      <c r="I9" s="13">
        <f>Assumptions!I16/365*I5</f>
        <v/>
      </c>
      <c r="J9" s="13">
        <f>Assumptions!J16/365*J5</f>
        <v/>
      </c>
      <c r="K9" s="13">
        <f>Assumptions!K16/365*K5</f>
        <v/>
      </c>
      <c r="L9" s="13">
        <f>Assumptions!L16/365*L5</f>
        <v/>
      </c>
      <c r="M9" s="13">
        <f>Assumptions!M16/365*M5</f>
        <v/>
      </c>
      <c r="N9" s="13">
        <f>Assumptions!N16/365*N5</f>
        <v/>
      </c>
    </row>
    <row r="10">
      <c r="A10" s="11" t="inlineStr">
        <is>
          <t>Other current liabilities &amp; provisions</t>
        </is>
      </c>
      <c r="B10" s="16">
        <f>'Balance Sheet'!B22</f>
        <v/>
      </c>
      <c r="C10" s="16">
        <f>'Balance Sheet'!C22</f>
        <v/>
      </c>
      <c r="D10" s="16">
        <f>'Balance Sheet'!D22</f>
        <v/>
      </c>
      <c r="E10" s="16">
        <f>'Balance Sheet'!E22</f>
        <v/>
      </c>
      <c r="F10" s="16">
        <f>'Balance Sheet'!F22</f>
        <v/>
      </c>
      <c r="G10" s="16">
        <f>'Balance Sheet'!G22</f>
        <v/>
      </c>
      <c r="H10" s="13">
        <f>Assumptions!H18*H4</f>
        <v/>
      </c>
      <c r="I10" s="13">
        <f>Assumptions!I18*I4</f>
        <v/>
      </c>
      <c r="J10" s="13">
        <f>Assumptions!J18*J4</f>
        <v/>
      </c>
      <c r="K10" s="13">
        <f>Assumptions!K18*K4</f>
        <v/>
      </c>
      <c r="L10" s="13">
        <f>Assumptions!L18*L4</f>
        <v/>
      </c>
      <c r="M10" s="13">
        <f>Assumptions!M18*M4</f>
        <v/>
      </c>
      <c r="N10" s="13">
        <f>Assumptions!N18*N4</f>
        <v/>
      </c>
    </row>
    <row r="11">
      <c r="A11" s="6" t="inlineStr">
        <is>
          <t>Net working capital</t>
        </is>
      </c>
      <c r="B11" s="15">
        <f>B6+B7+B8-B9-B10</f>
        <v/>
      </c>
      <c r="C11" s="15">
        <f>C6+C7+C8-C9-C10</f>
        <v/>
      </c>
      <c r="D11" s="15">
        <f>D6+D7+D8-D9-D10</f>
        <v/>
      </c>
      <c r="E11" s="15">
        <f>E6+E7+E8-E9-E10</f>
        <v/>
      </c>
      <c r="F11" s="15">
        <f>F6+F7+F8-F9-F10</f>
        <v/>
      </c>
      <c r="G11" s="15">
        <f>G6+G7+G8-G9-G10</f>
        <v/>
      </c>
      <c r="H11" s="15">
        <f>H6+H7+H8-H9-H10</f>
        <v/>
      </c>
      <c r="I11" s="15">
        <f>I6+I7+I8-I9-I10</f>
        <v/>
      </c>
      <c r="J11" s="15">
        <f>J6+J7+J8-J9-J10</f>
        <v/>
      </c>
      <c r="K11" s="15">
        <f>K6+K7+K8-K9-K10</f>
        <v/>
      </c>
      <c r="L11" s="15">
        <f>L6+L7+L8-L9-L10</f>
        <v/>
      </c>
      <c r="M11" s="15">
        <f>M6+M7+M8-M9-M10</f>
        <v/>
      </c>
      <c r="N11" s="15">
        <f>N6+N7+N8-N9-N10</f>
        <v/>
      </c>
    </row>
    <row r="12">
      <c r="A12" s="11" t="inlineStr">
        <is>
          <t>Increase / (decrease) in NWC</t>
        </is>
      </c>
      <c r="C12" s="13">
        <f>C11-B11</f>
        <v/>
      </c>
      <c r="D12" s="13">
        <f>D11-C11</f>
        <v/>
      </c>
      <c r="E12" s="13">
        <f>E11-D11</f>
        <v/>
      </c>
      <c r="F12" s="13">
        <f>F11-E11</f>
        <v/>
      </c>
      <c r="G12" s="13">
        <f>G11-F11</f>
        <v/>
      </c>
      <c r="H12" s="13">
        <f>H11-G11</f>
        <v/>
      </c>
      <c r="I12" s="13">
        <f>I11-H11</f>
        <v/>
      </c>
      <c r="J12" s="13">
        <f>J11-I11</f>
        <v/>
      </c>
      <c r="K12" s="13">
        <f>K11-J11</f>
        <v/>
      </c>
      <c r="L12" s="13">
        <f>L11-K11</f>
        <v/>
      </c>
      <c r="M12" s="13">
        <f>M11-L11</f>
        <v/>
      </c>
      <c r="N12" s="13">
        <f>N11-M11</f>
        <v/>
      </c>
    </row>
    <row r="14">
      <c r="A14" s="9" t="inlineStr">
        <is>
          <t>Debtor days</t>
        </is>
      </c>
      <c r="B14" s="32">
        <f>IF(B4=0,"",B6/B4*365)</f>
        <v/>
      </c>
      <c r="C14" s="32">
        <f>IF(C4=0,"",C6/C4*365)</f>
        <v/>
      </c>
      <c r="D14" s="32">
        <f>IF(D4=0,"",D6/D4*365)</f>
        <v/>
      </c>
      <c r="E14" s="32">
        <f>IF(E4=0,"",E6/E4*365)</f>
        <v/>
      </c>
      <c r="F14" s="32">
        <f>IF(F4=0,"",F6/F4*365)</f>
        <v/>
      </c>
      <c r="G14" s="32">
        <f>IF(G4=0,"",G6/G4*365)</f>
        <v/>
      </c>
      <c r="H14" s="32">
        <f>IF(H4=0,"",H6/H4*365)</f>
        <v/>
      </c>
      <c r="I14" s="32">
        <f>IF(I4=0,"",I6/I4*365)</f>
        <v/>
      </c>
      <c r="J14" s="32">
        <f>IF(J4=0,"",J6/J4*365)</f>
        <v/>
      </c>
      <c r="K14" s="32">
        <f>IF(K4=0,"",K6/K4*365)</f>
        <v/>
      </c>
      <c r="L14" s="32">
        <f>IF(L4=0,"",L6/L4*365)</f>
        <v/>
      </c>
      <c r="M14" s="32">
        <f>IF(M4=0,"",M6/M4*365)</f>
        <v/>
      </c>
      <c r="N14" s="32">
        <f>IF(N4=0,"",N6/N4*365)</f>
        <v/>
      </c>
    </row>
    <row r="15">
      <c r="A15" s="9" t="inlineStr">
        <is>
          <t>Inventory days (on COGS)</t>
        </is>
      </c>
      <c r="B15" s="32">
        <f>IF(B5=0,"",B7/B5*365)</f>
        <v/>
      </c>
      <c r="C15" s="32">
        <f>IF(C5=0,"",C7/C5*365)</f>
        <v/>
      </c>
      <c r="D15" s="32">
        <f>IF(D5=0,"",D7/D5*365)</f>
        <v/>
      </c>
      <c r="E15" s="32">
        <f>IF(E5=0,"",E7/E5*365)</f>
        <v/>
      </c>
      <c r="F15" s="32">
        <f>IF(F5=0,"",F7/F5*365)</f>
        <v/>
      </c>
      <c r="G15" s="32">
        <f>IF(G5=0,"",G7/G5*365)</f>
        <v/>
      </c>
      <c r="H15" s="32">
        <f>IF(H5=0,"",H7/H5*365)</f>
        <v/>
      </c>
      <c r="I15" s="32">
        <f>IF(I5=0,"",I7/I5*365)</f>
        <v/>
      </c>
      <c r="J15" s="32">
        <f>IF(J5=0,"",J7/J5*365)</f>
        <v/>
      </c>
      <c r="K15" s="32">
        <f>IF(K5=0,"",K7/K5*365)</f>
        <v/>
      </c>
      <c r="L15" s="32">
        <f>IF(L5=0,"",L7/L5*365)</f>
        <v/>
      </c>
      <c r="M15" s="32">
        <f>IF(M5=0,"",M7/M5*365)</f>
        <v/>
      </c>
      <c r="N15" s="32">
        <f>IF(N5=0,"",N7/N5*365)</f>
        <v/>
      </c>
    </row>
    <row r="16">
      <c r="A16" s="9" t="inlineStr">
        <is>
          <t>Payable days (on COGS)</t>
        </is>
      </c>
      <c r="B16" s="32">
        <f>IF(B5=0,"",B9/B5*365)</f>
        <v/>
      </c>
      <c r="C16" s="32">
        <f>IF(C5=0,"",C9/C5*365)</f>
        <v/>
      </c>
      <c r="D16" s="32">
        <f>IF(D5=0,"",D9/D5*365)</f>
        <v/>
      </c>
      <c r="E16" s="32">
        <f>IF(E5=0,"",E9/E5*365)</f>
        <v/>
      </c>
      <c r="F16" s="32">
        <f>IF(F5=0,"",F9/F5*365)</f>
        <v/>
      </c>
      <c r="G16" s="32">
        <f>IF(G5=0,"",G9/G5*365)</f>
        <v/>
      </c>
      <c r="H16" s="32">
        <f>IF(H5=0,"",H9/H5*365)</f>
        <v/>
      </c>
      <c r="I16" s="32">
        <f>IF(I5=0,"",I9/I5*365)</f>
        <v/>
      </c>
      <c r="J16" s="32">
        <f>IF(J5=0,"",J9/J5*365)</f>
        <v/>
      </c>
      <c r="K16" s="32">
        <f>IF(K5=0,"",K9/K5*365)</f>
        <v/>
      </c>
      <c r="L16" s="32">
        <f>IF(L5=0,"",L9/L5*365)</f>
        <v/>
      </c>
      <c r="M16" s="32">
        <f>IF(M5=0,"",M9/M5*365)</f>
        <v/>
      </c>
      <c r="N16" s="32">
        <f>IF(N5=0,"",N9/N5*365)</f>
        <v/>
      </c>
    </row>
    <row r="17">
      <c r="A17" s="33" t="inlineStr">
        <is>
          <t>Cash conversion cycle (days)</t>
        </is>
      </c>
      <c r="B17" s="34">
        <f>B14+B15-B16</f>
        <v/>
      </c>
      <c r="C17" s="34">
        <f>C14+C15-C16</f>
        <v/>
      </c>
      <c r="D17" s="34">
        <f>D14+D15-D16</f>
        <v/>
      </c>
      <c r="E17" s="34">
        <f>E14+E15-E16</f>
        <v/>
      </c>
      <c r="F17" s="34">
        <f>F14+F15-F16</f>
        <v/>
      </c>
      <c r="G17" s="34">
        <f>G14+G15-G16</f>
        <v/>
      </c>
      <c r="H17" s="34">
        <f>H14+H15-H16</f>
        <v/>
      </c>
      <c r="I17" s="34">
        <f>I14+I15-I16</f>
        <v/>
      </c>
      <c r="J17" s="34">
        <f>J14+J15-J16</f>
        <v/>
      </c>
      <c r="K17" s="34">
        <f>K14+K15-K16</f>
        <v/>
      </c>
      <c r="L17" s="34">
        <f>L14+L15-L16</f>
        <v/>
      </c>
      <c r="M17" s="34">
        <f>M14+M15-M16</f>
        <v/>
      </c>
      <c r="N17" s="34">
        <f>N14+N15-N16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Supporting Schedules (Fixed Assets, Debt, Equity)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Rs Crore. Fully linked roll-forward schedules feeding the three statements.</t>
        </is>
      </c>
    </row>
    <row r="3" ht="16" customHeight="1">
      <c r="A3" s="18" t="inlineStr"/>
      <c r="B3" s="35" t="inlineStr">
        <is>
          <t>FY2021A</t>
        </is>
      </c>
      <c r="C3" s="35" t="inlineStr">
        <is>
          <t>FY2022A</t>
        </is>
      </c>
      <c r="D3" s="35" t="inlineStr">
        <is>
          <t>FY2023A</t>
        </is>
      </c>
      <c r="E3" s="35" t="inlineStr">
        <is>
          <t>FY2024A</t>
        </is>
      </c>
      <c r="F3" s="35" t="inlineStr">
        <is>
          <t>FY2025A</t>
        </is>
      </c>
      <c r="G3" s="35" t="inlineStr">
        <is>
          <t>FY2026A</t>
        </is>
      </c>
      <c r="H3" s="35" t="inlineStr">
        <is>
          <t>FY2027E</t>
        </is>
      </c>
      <c r="I3" s="35" t="inlineStr">
        <is>
          <t>FY2028E</t>
        </is>
      </c>
      <c r="J3" s="35" t="inlineStr">
        <is>
          <t>FY2029E</t>
        </is>
      </c>
      <c r="K3" s="35" t="inlineStr">
        <is>
          <t>FY2030E</t>
        </is>
      </c>
      <c r="L3" s="35" t="inlineStr">
        <is>
          <t>FY2031E</t>
        </is>
      </c>
      <c r="M3" s="35" t="inlineStr">
        <is>
          <t>FY2032E</t>
        </is>
      </c>
      <c r="N3" s="35" t="inlineStr">
        <is>
          <t>FY2033E</t>
        </is>
      </c>
    </row>
    <row r="4">
      <c r="A4" s="18" t="inlineStr">
        <is>
          <t>Fixed asset &amp; depreciation schedule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</row>
    <row r="5">
      <c r="A5" s="11" t="inlineStr">
        <is>
          <t>Opening net block</t>
        </is>
      </c>
      <c r="C5" s="13">
        <f>B8</f>
        <v/>
      </c>
      <c r="D5" s="13">
        <f>C8</f>
        <v/>
      </c>
      <c r="E5" s="13">
        <f>D8</f>
        <v/>
      </c>
      <c r="F5" s="13">
        <f>E8</f>
        <v/>
      </c>
      <c r="G5" s="13">
        <f>F8</f>
        <v/>
      </c>
      <c r="H5" s="13">
        <f>G8</f>
        <v/>
      </c>
      <c r="I5" s="13">
        <f>H8</f>
        <v/>
      </c>
      <c r="J5" s="13">
        <f>I8</f>
        <v/>
      </c>
      <c r="K5" s="13">
        <f>J8</f>
        <v/>
      </c>
      <c r="L5" s="13">
        <f>K8</f>
        <v/>
      </c>
      <c r="M5" s="13">
        <f>L8</f>
        <v/>
      </c>
      <c r="N5" s="13">
        <f>M8</f>
        <v/>
      </c>
    </row>
    <row r="6">
      <c r="A6" s="11" t="inlineStr">
        <is>
          <t>Less: Depreciation &amp; amortisation</t>
        </is>
      </c>
      <c r="B6" s="16">
        <f>'Profit &amp; Loss'!B12</f>
        <v/>
      </c>
      <c r="C6" s="16">
        <f>'Profit &amp; Loss'!C12</f>
        <v/>
      </c>
      <c r="D6" s="16">
        <f>'Profit &amp; Loss'!D12</f>
        <v/>
      </c>
      <c r="E6" s="16">
        <f>'Profit &amp; Loss'!E12</f>
        <v/>
      </c>
      <c r="F6" s="16">
        <f>'Profit &amp; Loss'!F12</f>
        <v/>
      </c>
      <c r="G6" s="16">
        <f>'Profit &amp; Loss'!G12</f>
        <v/>
      </c>
      <c r="H6" s="13">
        <f>H5*Assumptions!H10</f>
        <v/>
      </c>
      <c r="I6" s="13">
        <f>I5*Assumptions!I10</f>
        <v/>
      </c>
      <c r="J6" s="13">
        <f>J5*Assumptions!J10</f>
        <v/>
      </c>
      <c r="K6" s="13">
        <f>K5*Assumptions!K10</f>
        <v/>
      </c>
      <c r="L6" s="13">
        <f>L5*Assumptions!L10</f>
        <v/>
      </c>
      <c r="M6" s="13">
        <f>M5*Assumptions!M10</f>
        <v/>
      </c>
      <c r="N6" s="13">
        <f>N5*Assumptions!N10</f>
        <v/>
      </c>
    </row>
    <row r="7">
      <c r="A7" s="11" t="inlineStr">
        <is>
          <t>Add: Capital expenditure</t>
        </is>
      </c>
      <c r="C7" s="13">
        <f>C8-C5+C6</f>
        <v/>
      </c>
      <c r="D7" s="13">
        <f>D8-D5+D6</f>
        <v/>
      </c>
      <c r="E7" s="13">
        <f>E8-E5+E6</f>
        <v/>
      </c>
      <c r="F7" s="13">
        <f>F8-F5+F6</f>
        <v/>
      </c>
      <c r="G7" s="13">
        <f>G8-G5+G6</f>
        <v/>
      </c>
      <c r="H7" s="16">
        <f>Assumptions!H11</f>
        <v/>
      </c>
      <c r="I7" s="16">
        <f>Assumptions!I11</f>
        <v/>
      </c>
      <c r="J7" s="16">
        <f>Assumptions!J11</f>
        <v/>
      </c>
      <c r="K7" s="16">
        <f>Assumptions!K11</f>
        <v/>
      </c>
      <c r="L7" s="16">
        <f>Assumptions!L11</f>
        <v/>
      </c>
      <c r="M7" s="16">
        <f>Assumptions!M11</f>
        <v/>
      </c>
      <c r="N7" s="16">
        <f>Assumptions!N11</f>
        <v/>
      </c>
    </row>
    <row r="8">
      <c r="A8" s="6" t="inlineStr">
        <is>
          <t>Closing net block</t>
        </is>
      </c>
      <c r="B8" s="22">
        <f>'Balance Sheet'!B5</f>
        <v/>
      </c>
      <c r="C8" s="22">
        <f>'Balance Sheet'!C5</f>
        <v/>
      </c>
      <c r="D8" s="22">
        <f>'Balance Sheet'!D5</f>
        <v/>
      </c>
      <c r="E8" s="22">
        <f>'Balance Sheet'!E5</f>
        <v/>
      </c>
      <c r="F8" s="22">
        <f>'Balance Sheet'!F5</f>
        <v/>
      </c>
      <c r="G8" s="22">
        <f>'Balance Sheet'!G5</f>
        <v/>
      </c>
      <c r="H8" s="8">
        <f>H5-H6+H7</f>
        <v/>
      </c>
      <c r="I8" s="8">
        <f>I5-I6+I7</f>
        <v/>
      </c>
      <c r="J8" s="8">
        <f>J5-J6+J7</f>
        <v/>
      </c>
      <c r="K8" s="8">
        <f>K5-K6+K7</f>
        <v/>
      </c>
      <c r="L8" s="8">
        <f>L5-L6+L7</f>
        <v/>
      </c>
      <c r="M8" s="8">
        <f>M5-M6+M7</f>
        <v/>
      </c>
      <c r="N8" s="8">
        <f>N5-N6+N7</f>
        <v/>
      </c>
    </row>
    <row r="10">
      <c r="A10" s="18" t="inlineStr">
        <is>
          <t>Borrowings &amp; interest schedule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</row>
    <row r="11">
      <c r="A11" s="11" t="inlineStr">
        <is>
          <t>Opening borrowings</t>
        </is>
      </c>
      <c r="C11" s="13">
        <f>B12</f>
        <v/>
      </c>
      <c r="D11" s="13">
        <f>C12</f>
        <v/>
      </c>
      <c r="E11" s="13">
        <f>D12</f>
        <v/>
      </c>
      <c r="F11" s="13">
        <f>E12</f>
        <v/>
      </c>
      <c r="G11" s="13">
        <f>F12</f>
        <v/>
      </c>
      <c r="H11" s="13">
        <f>G12</f>
        <v/>
      </c>
      <c r="I11" s="13">
        <f>H12</f>
        <v/>
      </c>
      <c r="J11" s="13">
        <f>I12</f>
        <v/>
      </c>
      <c r="K11" s="13">
        <f>J12</f>
        <v/>
      </c>
      <c r="L11" s="13">
        <f>K12</f>
        <v/>
      </c>
      <c r="M11" s="13">
        <f>L12</f>
        <v/>
      </c>
      <c r="N11" s="13">
        <f>M12</f>
        <v/>
      </c>
    </row>
    <row r="12">
      <c r="A12" s="6" t="inlineStr">
        <is>
          <t>Closing borrowings</t>
        </is>
      </c>
      <c r="B12" s="22">
        <f>'Balance Sheet'!B18</f>
        <v/>
      </c>
      <c r="C12" s="22">
        <f>'Balance Sheet'!C18</f>
        <v/>
      </c>
      <c r="D12" s="22">
        <f>'Balance Sheet'!D18</f>
        <v/>
      </c>
      <c r="E12" s="22">
        <f>'Balance Sheet'!E18</f>
        <v/>
      </c>
      <c r="F12" s="22">
        <f>'Balance Sheet'!F18</f>
        <v/>
      </c>
      <c r="G12" s="22">
        <f>'Balance Sheet'!G18</f>
        <v/>
      </c>
      <c r="H12" s="22">
        <f>Assumptions!H19</f>
        <v/>
      </c>
      <c r="I12" s="22">
        <f>Assumptions!I19</f>
        <v/>
      </c>
      <c r="J12" s="22">
        <f>Assumptions!J19</f>
        <v/>
      </c>
      <c r="K12" s="22">
        <f>Assumptions!K19</f>
        <v/>
      </c>
      <c r="L12" s="22">
        <f>Assumptions!L19</f>
        <v/>
      </c>
      <c r="M12" s="22">
        <f>Assumptions!M19</f>
        <v/>
      </c>
      <c r="N12" s="22">
        <f>Assumptions!N19</f>
        <v/>
      </c>
    </row>
    <row r="13">
      <c r="A13" s="11" t="inlineStr">
        <is>
          <t>Finance costs (interest)</t>
        </is>
      </c>
      <c r="B13" s="16">
        <f>'Profit &amp; Loss'!B15</f>
        <v/>
      </c>
      <c r="C13" s="16">
        <f>'Profit &amp; Loss'!C15</f>
        <v/>
      </c>
      <c r="D13" s="16">
        <f>'Profit &amp; Loss'!D15</f>
        <v/>
      </c>
      <c r="E13" s="16">
        <f>'Profit &amp; Loss'!E15</f>
        <v/>
      </c>
      <c r="F13" s="16">
        <f>'Profit &amp; Loss'!F15</f>
        <v/>
      </c>
      <c r="G13" s="16">
        <f>'Profit &amp; Loss'!G15</f>
        <v/>
      </c>
      <c r="H13" s="13">
        <f>(H11+H12)/2*Assumptions!H20</f>
        <v/>
      </c>
      <c r="I13" s="13">
        <f>(I11+I12)/2*Assumptions!I20</f>
        <v/>
      </c>
      <c r="J13" s="13">
        <f>(J11+J12)/2*Assumptions!J20</f>
        <v/>
      </c>
      <c r="K13" s="13">
        <f>(K11+K12)/2*Assumptions!K20</f>
        <v/>
      </c>
      <c r="L13" s="13">
        <f>(L11+L12)/2*Assumptions!L20</f>
        <v/>
      </c>
      <c r="M13" s="13">
        <f>(M11+M12)/2*Assumptions!M20</f>
        <v/>
      </c>
      <c r="N13" s="13">
        <f>(N11+N12)/2*Assumptions!N20</f>
        <v/>
      </c>
    </row>
    <row r="14">
      <c r="A14" s="9" t="inlineStr">
        <is>
          <t xml:space="preserve">   Implied interest rate (%)</t>
        </is>
      </c>
      <c r="B14" s="10">
        <f>IF(B11=0,"",B13/((B11+B12)/2))</f>
        <v/>
      </c>
      <c r="C14" s="10">
        <f>IF(C11=0,"",C13/((C11+C12)/2))</f>
        <v/>
      </c>
      <c r="D14" s="10">
        <f>IF(D11=0,"",D13/((D11+D12)/2))</f>
        <v/>
      </c>
      <c r="E14" s="10">
        <f>IF(E11=0,"",E13/((E11+E12)/2))</f>
        <v/>
      </c>
      <c r="F14" s="10">
        <f>IF(F11=0,"",F13/((F11+F12)/2))</f>
        <v/>
      </c>
      <c r="G14" s="10">
        <f>IF(G11=0,"",G13/((G11+G12)/2))</f>
        <v/>
      </c>
      <c r="H14" s="10">
        <f>IF(H11=0,"",H13/((H11+H12)/2))</f>
        <v/>
      </c>
      <c r="I14" s="10">
        <f>IF(I11=0,"",I13/((I11+I12)/2))</f>
        <v/>
      </c>
      <c r="J14" s="10">
        <f>IF(J11=0,"",J13/((J11+J12)/2))</f>
        <v/>
      </c>
      <c r="K14" s="10">
        <f>IF(K11=0,"",K13/((K11+K12)/2))</f>
        <v/>
      </c>
      <c r="L14" s="10">
        <f>IF(L11=0,"",L13/((L11+L12)/2))</f>
        <v/>
      </c>
      <c r="M14" s="10">
        <f>IF(M11=0,"",M13/((M11+M12)/2))</f>
        <v/>
      </c>
      <c r="N14" s="10">
        <f>IF(N11=0,"",N13/((N11+N12)/2))</f>
        <v/>
      </c>
    </row>
    <row r="16">
      <c r="A16" s="18" t="inlineStr">
        <is>
          <t>Equity &amp; reserves schedule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</row>
    <row r="17">
      <c r="A17" s="11" t="inlineStr">
        <is>
          <t>Opening reserves &amp; surplus</t>
        </is>
      </c>
      <c r="C17" s="13">
        <f>B21</f>
        <v/>
      </c>
      <c r="D17" s="13">
        <f>C21</f>
        <v/>
      </c>
      <c r="E17" s="13">
        <f>D21</f>
        <v/>
      </c>
      <c r="F17" s="13">
        <f>E21</f>
        <v/>
      </c>
      <c r="G17" s="13">
        <f>F21</f>
        <v/>
      </c>
      <c r="H17" s="13">
        <f>G21</f>
        <v/>
      </c>
      <c r="I17" s="13">
        <f>H21</f>
        <v/>
      </c>
      <c r="J17" s="13">
        <f>I21</f>
        <v/>
      </c>
      <c r="K17" s="13">
        <f>J21</f>
        <v/>
      </c>
      <c r="L17" s="13">
        <f>K21</f>
        <v/>
      </c>
      <c r="M17" s="13">
        <f>L21</f>
        <v/>
      </c>
      <c r="N17" s="13">
        <f>M21</f>
        <v/>
      </c>
    </row>
    <row r="18">
      <c r="A18" s="11" t="inlineStr">
        <is>
          <t>Add: Profit after tax</t>
        </is>
      </c>
      <c r="B18" s="16">
        <f>'Profit &amp; Loss'!B21</f>
        <v/>
      </c>
      <c r="C18" s="16">
        <f>'Profit &amp; Loss'!C21</f>
        <v/>
      </c>
      <c r="D18" s="16">
        <f>'Profit &amp; Loss'!D21</f>
        <v/>
      </c>
      <c r="E18" s="16">
        <f>'Profit &amp; Loss'!E21</f>
        <v/>
      </c>
      <c r="F18" s="16">
        <f>'Profit &amp; Loss'!F21</f>
        <v/>
      </c>
      <c r="G18" s="16">
        <f>'Profit &amp; Loss'!G21</f>
        <v/>
      </c>
      <c r="H18" s="16">
        <f>'Profit &amp; Loss'!H21</f>
        <v/>
      </c>
      <c r="I18" s="16">
        <f>'Profit &amp; Loss'!I21</f>
        <v/>
      </c>
      <c r="J18" s="16">
        <f>'Profit &amp; Loss'!J21</f>
        <v/>
      </c>
      <c r="K18" s="16">
        <f>'Profit &amp; Loss'!K21</f>
        <v/>
      </c>
      <c r="L18" s="16">
        <f>'Profit &amp; Loss'!L21</f>
        <v/>
      </c>
      <c r="M18" s="16">
        <f>'Profit &amp; Loss'!M21</f>
        <v/>
      </c>
      <c r="N18" s="16">
        <f>'Profit &amp; Loss'!N21</f>
        <v/>
      </c>
    </row>
    <row r="19">
      <c r="A19" s="11" t="inlineStr">
        <is>
          <t>Less: Dividends</t>
        </is>
      </c>
      <c r="C19" s="13">
        <f>C17+C18+C20-C21</f>
        <v/>
      </c>
      <c r="D19" s="13">
        <f>D17+D18+D20-D21</f>
        <v/>
      </c>
      <c r="E19" s="13">
        <f>E17+E18+E20-E21</f>
        <v/>
      </c>
      <c r="F19" s="13">
        <f>F17+F18+F20-F21</f>
        <v/>
      </c>
      <c r="G19" s="13">
        <f>G17+G18+G20-G21</f>
        <v/>
      </c>
      <c r="H19" s="13">
        <f>H18*Assumptions!H13</f>
        <v/>
      </c>
      <c r="I19" s="13">
        <f>I18*Assumptions!I13</f>
        <v/>
      </c>
      <c r="J19" s="13">
        <f>J18*Assumptions!J13</f>
        <v/>
      </c>
      <c r="K19" s="13">
        <f>K18*Assumptions!K13</f>
        <v/>
      </c>
      <c r="L19" s="13">
        <f>L18*Assumptions!L13</f>
        <v/>
      </c>
      <c r="M19" s="13">
        <f>M18*Assumptions!M13</f>
        <v/>
      </c>
      <c r="N19" s="13">
        <f>N18*Assumptions!N13</f>
        <v/>
      </c>
    </row>
    <row r="20">
      <c r="A20" s="11" t="inlineStr">
        <is>
          <t>Add: Equity issuance (QIP)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>
        <f>G21-F21-G18+59</f>
        <v/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</row>
    <row r="21">
      <c r="A21" s="6" t="inlineStr">
        <is>
          <t>Closing reserves &amp; surplus</t>
        </is>
      </c>
      <c r="B21" s="22">
        <f>'Balance Sheet'!B17</f>
        <v/>
      </c>
      <c r="C21" s="22">
        <f>'Balance Sheet'!C17</f>
        <v/>
      </c>
      <c r="D21" s="22">
        <f>'Balance Sheet'!D17</f>
        <v/>
      </c>
      <c r="E21" s="22">
        <f>'Balance Sheet'!E17</f>
        <v/>
      </c>
      <c r="F21" s="22">
        <f>'Balance Sheet'!F17</f>
        <v/>
      </c>
      <c r="G21" s="22">
        <f>'Balance Sheet'!G17</f>
        <v/>
      </c>
      <c r="H21" s="8">
        <f>H17+H18-H19+H20</f>
        <v/>
      </c>
      <c r="I21" s="8">
        <f>I17+I18-I19+I20</f>
        <v/>
      </c>
      <c r="J21" s="8">
        <f>J17+J18-J19+J20</f>
        <v/>
      </c>
      <c r="K21" s="8">
        <f>K17+K18-K19+K20</f>
        <v/>
      </c>
      <c r="L21" s="8">
        <f>L17+L18-L19+L20</f>
        <v/>
      </c>
      <c r="M21" s="8">
        <f>M17+M18-M19+M20</f>
        <v/>
      </c>
      <c r="N21" s="8">
        <f>N17+N18-N19+N20</f>
        <v/>
      </c>
    </row>
    <row r="22">
      <c r="A22" s="11" t="inlineStr">
        <is>
          <t>Equity share capital</t>
        </is>
      </c>
      <c r="B22" s="16">
        <f>'Balance Sheet'!B16</f>
        <v/>
      </c>
      <c r="C22" s="16">
        <f>'Balance Sheet'!C16</f>
        <v/>
      </c>
      <c r="D22" s="16">
        <f>'Balance Sheet'!D16</f>
        <v/>
      </c>
      <c r="E22" s="16">
        <f>'Balance Sheet'!E16</f>
        <v/>
      </c>
      <c r="F22" s="16">
        <f>'Balance Sheet'!F16</f>
        <v/>
      </c>
      <c r="G22" s="16">
        <f>'Balance Sheet'!G16</f>
        <v/>
      </c>
      <c r="H22" s="13">
        <f>G22</f>
        <v/>
      </c>
      <c r="I22" s="13">
        <f>H22</f>
        <v/>
      </c>
      <c r="J22" s="13">
        <f>I22</f>
        <v/>
      </c>
      <c r="K22" s="13">
        <f>J22</f>
        <v/>
      </c>
      <c r="L22" s="13">
        <f>K22</f>
        <v/>
      </c>
      <c r="M22" s="13">
        <f>L22</f>
        <v/>
      </c>
      <c r="N22" s="13">
        <f>M22</f>
        <v/>
      </c>
    </row>
    <row r="23">
      <c r="A23" s="11" t="inlineStr">
        <is>
          <t>No. of equity shares (Cr)</t>
        </is>
      </c>
      <c r="B23" s="13">
        <f>B22/2</f>
        <v/>
      </c>
      <c r="C23" s="13">
        <f>C22/2</f>
        <v/>
      </c>
      <c r="D23" s="13">
        <f>D22/2</f>
        <v/>
      </c>
      <c r="E23" s="13">
        <f>E22/2</f>
        <v/>
      </c>
      <c r="F23" s="13">
        <f>F22/2</f>
        <v/>
      </c>
      <c r="G23" s="13">
        <f>G22/2</f>
        <v/>
      </c>
      <c r="H23" s="13">
        <f>H22/2</f>
        <v/>
      </c>
      <c r="I23" s="13">
        <f>I22/2</f>
        <v/>
      </c>
      <c r="J23" s="13">
        <f>J22/2</f>
        <v/>
      </c>
      <c r="K23" s="13">
        <f>K22/2</f>
        <v/>
      </c>
      <c r="L23" s="13">
        <f>L22/2</f>
        <v/>
      </c>
      <c r="M23" s="13">
        <f>M22/2</f>
        <v/>
      </c>
      <c r="N23" s="13">
        <f>N22/2</f>
        <v/>
      </c>
    </row>
    <row r="25">
      <c r="A25" s="18" t="inlineStr">
        <is>
          <t>Net debt summary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</row>
    <row r="26">
      <c r="A26" s="11" t="inlineStr">
        <is>
          <t>Total borrowings</t>
        </is>
      </c>
      <c r="B26" s="16">
        <f>'Balance Sheet'!B18</f>
        <v/>
      </c>
      <c r="C26" s="16">
        <f>'Balance Sheet'!C18</f>
        <v/>
      </c>
      <c r="D26" s="16">
        <f>'Balance Sheet'!D18</f>
        <v/>
      </c>
      <c r="E26" s="16">
        <f>'Balance Sheet'!E18</f>
        <v/>
      </c>
      <c r="F26" s="16">
        <f>'Balance Sheet'!F18</f>
        <v/>
      </c>
      <c r="G26" s="16">
        <f>'Balance Sheet'!G18</f>
        <v/>
      </c>
      <c r="H26" s="16">
        <f>'Balance Sheet'!H18</f>
        <v/>
      </c>
      <c r="I26" s="16">
        <f>'Balance Sheet'!I18</f>
        <v/>
      </c>
      <c r="J26" s="16">
        <f>'Balance Sheet'!J18</f>
        <v/>
      </c>
      <c r="K26" s="16">
        <f>'Balance Sheet'!K18</f>
        <v/>
      </c>
      <c r="L26" s="16">
        <f>'Balance Sheet'!L18</f>
        <v/>
      </c>
      <c r="M26" s="16">
        <f>'Balance Sheet'!M18</f>
        <v/>
      </c>
      <c r="N26" s="16">
        <f>'Balance Sheet'!N18</f>
        <v/>
      </c>
    </row>
    <row r="27">
      <c r="A27" s="11" t="inlineStr">
        <is>
          <t>Less: Cash, bank &amp; current investments</t>
        </is>
      </c>
      <c r="B27" s="16">
        <f>'Balance Sheet'!B11</f>
        <v/>
      </c>
      <c r="C27" s="16">
        <f>'Balance Sheet'!C11</f>
        <v/>
      </c>
      <c r="D27" s="16">
        <f>'Balance Sheet'!D11</f>
        <v/>
      </c>
      <c r="E27" s="16">
        <f>'Balance Sheet'!E11</f>
        <v/>
      </c>
      <c r="F27" s="16">
        <f>'Balance Sheet'!F11</f>
        <v/>
      </c>
      <c r="G27" s="16">
        <f>'Balance Sheet'!G11</f>
        <v/>
      </c>
      <c r="H27" s="16">
        <f>'Balance Sheet'!H11</f>
        <v/>
      </c>
      <c r="I27" s="16">
        <f>'Balance Sheet'!I11</f>
        <v/>
      </c>
      <c r="J27" s="16">
        <f>'Balance Sheet'!J11</f>
        <v/>
      </c>
      <c r="K27" s="16">
        <f>'Balance Sheet'!K11</f>
        <v/>
      </c>
      <c r="L27" s="16">
        <f>'Balance Sheet'!L11</f>
        <v/>
      </c>
      <c r="M27" s="16">
        <f>'Balance Sheet'!M11</f>
        <v/>
      </c>
      <c r="N27" s="16">
        <f>'Balance Sheet'!N11</f>
        <v/>
      </c>
    </row>
    <row r="28">
      <c r="A28" s="6" t="inlineStr">
        <is>
          <t>Net debt / (net cash)</t>
        </is>
      </c>
      <c r="B28" s="8">
        <f>B26-B27</f>
        <v/>
      </c>
      <c r="C28" s="8">
        <f>C26-C27</f>
        <v/>
      </c>
      <c r="D28" s="8">
        <f>D26-D27</f>
        <v/>
      </c>
      <c r="E28" s="8">
        <f>E26-E27</f>
        <v/>
      </c>
      <c r="F28" s="8">
        <f>F26-F27</f>
        <v/>
      </c>
      <c r="G28" s="8">
        <f>G26-G27</f>
        <v/>
      </c>
      <c r="H28" s="8">
        <f>H26-H27</f>
        <v/>
      </c>
      <c r="I28" s="8">
        <f>I26-I27</f>
        <v/>
      </c>
      <c r="J28" s="8">
        <f>J26-J27</f>
        <v/>
      </c>
      <c r="K28" s="8">
        <f>K26-K27</f>
        <v/>
      </c>
      <c r="L28" s="8">
        <f>L26-L27</f>
        <v/>
      </c>
      <c r="M28" s="8">
        <f>M26-M27</f>
        <v/>
      </c>
      <c r="N28" s="8">
        <f>N26-N27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Beta Estimation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Two approaches reconciled to a single levered beta used in the cost of equity. Market data as of late June 2026.</t>
        </is>
      </c>
    </row>
    <row r="4">
      <c r="A4" s="18" t="inlineStr">
        <is>
          <t>Approach 1 - Regression (historical) beta</t>
        </is>
      </c>
      <c r="B4" s="19" t="n"/>
      <c r="C4" s="19" t="n"/>
      <c r="D4" s="19" t="n"/>
      <c r="E4" s="19" t="n"/>
      <c r="F4" s="19" t="n"/>
      <c r="G4" s="19" t="n"/>
    </row>
    <row r="5">
      <c r="A5" s="11" t="inlineStr">
        <is>
          <t>Raw levered beta (2-yr monthly vs index; published)</t>
        </is>
      </c>
      <c r="B5" s="45" t="n">
        <v>0.89</v>
      </c>
    </row>
    <row r="6">
      <c r="A6" s="11" t="inlineStr">
        <is>
          <t>Blume-adjusted beta = 0.67 x raw + 0.33</t>
        </is>
      </c>
      <c r="B6" s="46">
        <f>0.67*B5+0.33</f>
        <v/>
      </c>
    </row>
    <row r="7">
      <c r="A7" s="47" t="inlineStr">
        <is>
          <t xml:space="preserve">   (Source: BusinessToday / exchange data, Jun-2026)</t>
        </is>
      </c>
    </row>
    <row r="9">
      <c r="A9" s="18" t="inlineStr">
        <is>
          <t>Approach 2 - Bottom-up (peer unlevered) beta</t>
        </is>
      </c>
      <c r="B9" s="19" t="n"/>
      <c r="C9" s="19" t="n"/>
      <c r="D9" s="19" t="n"/>
      <c r="E9" s="19" t="n"/>
      <c r="F9" s="19" t="n"/>
      <c r="G9" s="19" t="n"/>
    </row>
    <row r="10">
      <c r="A10" s="4" t="inlineStr">
        <is>
          <t>Peer</t>
        </is>
      </c>
      <c r="B10" s="5" t="inlineStr">
        <is>
          <t>Levered beta</t>
        </is>
      </c>
      <c r="C10" s="5" t="inlineStr">
        <is>
          <t>Debt/Equity</t>
        </is>
      </c>
      <c r="D10" s="5" t="inlineStr">
        <is>
          <t>Tax rate</t>
        </is>
      </c>
      <c r="E10" s="5" t="inlineStr">
        <is>
          <t>Unlevered beta</t>
        </is>
      </c>
    </row>
    <row r="11">
      <c r="A11" s="11" t="inlineStr">
        <is>
          <t>SRF Ltd</t>
        </is>
      </c>
      <c r="B11" s="48" t="n">
        <v>1.22</v>
      </c>
      <c r="C11" s="48" t="n">
        <v>0.4</v>
      </c>
      <c r="D11" s="49" t="n">
        <v>0.25</v>
      </c>
      <c r="E11" s="46">
        <f>B11/(1+(1-D11)*C11)</f>
        <v/>
      </c>
    </row>
    <row r="12">
      <c r="A12" s="11" t="inlineStr">
        <is>
          <t>PI Industries</t>
        </is>
      </c>
      <c r="B12" s="48" t="n">
        <v>0.75</v>
      </c>
      <c r="C12" s="48" t="n">
        <v>0.05</v>
      </c>
      <c r="D12" s="49" t="n">
        <v>0.25</v>
      </c>
      <c r="E12" s="46">
        <f>B12/(1+(1-D12)*C12)</f>
        <v/>
      </c>
    </row>
    <row r="13">
      <c r="A13" s="11" t="inlineStr">
        <is>
          <t>Gujarat Fluorochemicals</t>
        </is>
      </c>
      <c r="B13" s="48" t="n">
        <v>1.15</v>
      </c>
      <c r="C13" s="48" t="n">
        <v>0.45</v>
      </c>
      <c r="D13" s="49" t="n">
        <v>0.25</v>
      </c>
      <c r="E13" s="46">
        <f>B13/(1+(1-D13)*C13)</f>
        <v/>
      </c>
    </row>
    <row r="14">
      <c r="A14" s="11" t="inlineStr">
        <is>
          <t>Aarti Industries</t>
        </is>
      </c>
      <c r="B14" s="48" t="n">
        <v>1.05</v>
      </c>
      <c r="C14" s="48" t="n">
        <v>0.7</v>
      </c>
      <c r="D14" s="49" t="n">
        <v>0.25</v>
      </c>
      <c r="E14" s="46">
        <f>B14/(1+(1-D14)*C14)</f>
        <v/>
      </c>
    </row>
    <row r="15">
      <c r="A15" s="11" t="inlineStr">
        <is>
          <t>Vinati Organics</t>
        </is>
      </c>
      <c r="B15" s="48" t="n">
        <v>0.65</v>
      </c>
      <c r="C15" s="48" t="n">
        <v>0.02</v>
      </c>
      <c r="D15" s="49" t="n">
        <v>0.25</v>
      </c>
      <c r="E15" s="46">
        <f>B15/(1+(1-D15)*C15)</f>
        <v/>
      </c>
    </row>
    <row r="16">
      <c r="A16" s="6" t="inlineStr">
        <is>
          <t>Median unlevered beta</t>
        </is>
      </c>
      <c r="E16" s="50">
        <f>MEDIAN(E11:E15)</f>
        <v/>
      </c>
    </row>
    <row r="17">
      <c r="A17" s="11" t="inlineStr">
        <is>
          <t>Navin target debt/equity</t>
        </is>
      </c>
      <c r="B17" s="45" t="n">
        <v>0.1</v>
      </c>
    </row>
    <row r="18">
      <c r="A18" s="11" t="inlineStr">
        <is>
          <t>Navin marginal tax rate</t>
        </is>
      </c>
      <c r="B18" s="51" t="n">
        <v>0.25</v>
      </c>
    </row>
    <row r="19">
      <c r="A19" s="6" t="inlineStr">
        <is>
          <t>Re-levered beta = median_unlev x (1+(1-tax)xD/E)</t>
        </is>
      </c>
      <c r="B19" s="50">
        <f>E16*(1+(1-B18)*B17)</f>
        <v/>
      </c>
    </row>
    <row r="21">
      <c r="A21" s="18" t="inlineStr">
        <is>
          <t>Selected levered beta (used in WACC)</t>
        </is>
      </c>
      <c r="B21" s="19" t="n"/>
      <c r="C21" s="19" t="n"/>
      <c r="D21" s="19" t="n"/>
      <c r="E21" s="19" t="n"/>
      <c r="F21" s="19" t="n"/>
      <c r="G21" s="19" t="n"/>
    </row>
    <row r="22">
      <c r="A22" s="6" t="inlineStr">
        <is>
          <t>Selected beta = average(Blume-adjusted, re-levered)</t>
        </is>
      </c>
      <c r="B22" s="52">
        <f>ROUND(AVERAGE(B6,B19),2)</f>
        <v/>
      </c>
    </row>
    <row r="24" ht="48" customHeight="1">
      <c r="A24" s="53" t="inlineStr">
        <is>
          <t>Note: Navin operates near net-cash; peer betas reflect listed Indian specialty-chemical comparables. A regression beta would be computed from 24-36 monthly returns of NAVINFLUOR vs the Nifty 500; the published adjusted beta (~0.89) is used as the regression proxy.</t>
        </is>
      </c>
    </row>
    <row r="25"/>
    <row r="26"/>
  </sheetData>
  <mergeCells count="1">
    <mergeCell ref="A24:G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1" ht="20" customHeight="1">
      <c r="A1" s="1" t="inlineStr">
        <is>
          <t>Navin Fluorine International Ltd  |  Notes to Accounts &amp; Data Sources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Detailed reported line items (consolidated), data sources and methodology. Rs Crore.</t>
        </is>
      </c>
    </row>
    <row r="3" ht="16" customHeight="1">
      <c r="A3" s="4" t="inlineStr">
        <is>
          <t>Reported line item (consolidated)</t>
        </is>
      </c>
      <c r="B3" s="5" t="inlineStr">
        <is>
          <t>FY2021A</t>
        </is>
      </c>
      <c r="C3" s="5" t="inlineStr">
        <is>
          <t>FY2022A</t>
        </is>
      </c>
      <c r="D3" s="5" t="inlineStr">
        <is>
          <t>FY2023A</t>
        </is>
      </c>
      <c r="E3" s="5" t="inlineStr">
        <is>
          <t>FY2024A</t>
        </is>
      </c>
      <c r="F3" s="5" t="inlineStr">
        <is>
          <t>FY2025A</t>
        </is>
      </c>
      <c r="G3" s="5" t="inlineStr">
        <is>
          <t>FY2026A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  <c r="L3" s="5" t="inlineStr">
        <is>
          <t>FY2031E</t>
        </is>
      </c>
      <c r="M3" s="5" t="inlineStr">
        <is>
          <t>FY2032E</t>
        </is>
      </c>
      <c r="N3" s="5" t="inlineStr">
        <is>
          <t>FY2033E</t>
        </is>
      </c>
    </row>
    <row r="4">
      <c r="A4" s="18" t="inlineStr">
        <is>
          <t>ASSETS</t>
        </is>
      </c>
      <c r="B4" s="19" t="n"/>
      <c r="C4" s="19" t="n"/>
      <c r="D4" s="19" t="n"/>
      <c r="E4" s="19" t="n"/>
      <c r="F4" s="19" t="n"/>
      <c r="G4" s="19" t="n"/>
    </row>
    <row r="5">
      <c r="A5" s="11" t="inlineStr">
        <is>
          <t>Property, plant &amp; equipment</t>
        </is>
      </c>
      <c r="B5" s="12" t="n">
        <v>375.92</v>
      </c>
      <c r="C5" s="12" t="n">
        <v>377.55</v>
      </c>
      <c r="D5" s="12" t="n">
        <v>1471.83</v>
      </c>
      <c r="E5" s="12" t="n">
        <v>1685.44</v>
      </c>
      <c r="F5" s="12" t="n">
        <v>2550.47</v>
      </c>
      <c r="G5" s="12" t="n">
        <v>2900</v>
      </c>
    </row>
    <row r="6">
      <c r="A6" s="11" t="inlineStr">
        <is>
          <t>Right-of-use assets</t>
        </is>
      </c>
      <c r="B6" s="12" t="n">
        <v>21.72</v>
      </c>
      <c r="C6" s="12" t="n">
        <v>37.52</v>
      </c>
      <c r="D6" s="12" t="n">
        <v>33.09</v>
      </c>
      <c r="E6" s="12" t="n">
        <v>48.43</v>
      </c>
      <c r="F6" s="12" t="n">
        <v>46.27</v>
      </c>
      <c r="G6" s="12" t="n">
        <v>45</v>
      </c>
    </row>
    <row r="7">
      <c r="A7" s="11" t="inlineStr">
        <is>
          <t>Capital work-in-progress</t>
        </is>
      </c>
      <c r="B7" s="12" t="n">
        <v>94.87</v>
      </c>
      <c r="C7" s="12" t="n">
        <v>742.1</v>
      </c>
      <c r="D7" s="12" t="n">
        <v>278.58</v>
      </c>
      <c r="E7" s="12" t="n">
        <v>711.09</v>
      </c>
      <c r="F7" s="12" t="n">
        <v>349.79</v>
      </c>
      <c r="G7" s="12" t="n">
        <v>143</v>
      </c>
    </row>
    <row r="8">
      <c r="A8" s="11" t="inlineStr">
        <is>
          <t>Investment properties</t>
        </is>
      </c>
      <c r="B8" s="12" t="n">
        <v>53.89</v>
      </c>
      <c r="C8" s="12" t="n">
        <v>52.78</v>
      </c>
      <c r="D8" s="12" t="n">
        <v>51.65</v>
      </c>
      <c r="E8" s="12" t="n">
        <v>50.51</v>
      </c>
      <c r="F8" s="12" t="n">
        <v>49.38</v>
      </c>
      <c r="G8" s="12" t="n">
        <v>48</v>
      </c>
    </row>
    <row r="9">
      <c r="A9" s="11" t="inlineStr">
        <is>
          <t>Goodwill</t>
        </is>
      </c>
      <c r="B9" s="12" t="n">
        <v>87.76000000000001</v>
      </c>
      <c r="C9" s="12" t="n">
        <v>87.76000000000001</v>
      </c>
      <c r="D9" s="12" t="n">
        <v>87.76000000000001</v>
      </c>
      <c r="E9" s="12" t="n">
        <v>87.76000000000001</v>
      </c>
      <c r="F9" s="12" t="n">
        <v>87.76000000000001</v>
      </c>
      <c r="G9" s="12" t="n">
        <v>87.76000000000001</v>
      </c>
    </row>
    <row r="10">
      <c r="A10" s="11" t="inlineStr">
        <is>
          <t>Other intangible assets (incl. under development)</t>
        </is>
      </c>
      <c r="B10" s="12" t="n">
        <v>0.83</v>
      </c>
      <c r="C10" s="12" t="n">
        <v>0.49</v>
      </c>
      <c r="D10" s="12" t="n">
        <v>1.55</v>
      </c>
      <c r="E10" s="12" t="n">
        <v>2.46</v>
      </c>
      <c r="F10" s="12" t="n">
        <v>8.039999999999999</v>
      </c>
      <c r="G10" s="12" t="n">
        <v>8</v>
      </c>
    </row>
    <row r="11">
      <c r="A11" s="11" t="inlineStr">
        <is>
          <t>Non-current investments (incl. equity method)</t>
        </is>
      </c>
      <c r="B11" s="12" t="n">
        <v>14.54</v>
      </c>
      <c r="C11" s="12" t="n">
        <v>13.92</v>
      </c>
      <c r="D11" s="12" t="n">
        <v>12.7</v>
      </c>
      <c r="E11" s="12" t="n">
        <v>8.789999999999999</v>
      </c>
      <c r="F11" s="12" t="n">
        <v>8.119999999999999</v>
      </c>
      <c r="G11" s="12" t="n">
        <v>10</v>
      </c>
    </row>
    <row r="12">
      <c r="A12" s="11" t="inlineStr">
        <is>
          <t>Other non-current assets</t>
        </is>
      </c>
      <c r="B12" s="12" t="n">
        <v>53.23</v>
      </c>
      <c r="C12" s="12" t="n">
        <v>54.09</v>
      </c>
      <c r="D12" s="12" t="n">
        <v>125.96</v>
      </c>
      <c r="E12" s="12" t="n">
        <v>229.31</v>
      </c>
      <c r="F12" s="12" t="n">
        <v>141.71</v>
      </c>
      <c r="G12" s="12" t="n">
        <v>240</v>
      </c>
    </row>
    <row r="13">
      <c r="A13" s="11" t="inlineStr">
        <is>
          <t>Inventories</t>
        </is>
      </c>
      <c r="B13" s="12" t="n">
        <v>180.35</v>
      </c>
      <c r="C13" s="12" t="n">
        <v>257.54</v>
      </c>
      <c r="D13" s="12" t="n">
        <v>468.12</v>
      </c>
      <c r="E13" s="12" t="n">
        <v>371.65</v>
      </c>
      <c r="F13" s="12" t="n">
        <v>322.42</v>
      </c>
      <c r="G13" s="12" t="n">
        <v>428</v>
      </c>
    </row>
    <row r="14">
      <c r="A14" s="11" t="inlineStr">
        <is>
          <t>Trade receivables</t>
        </is>
      </c>
      <c r="B14" s="12" t="n">
        <v>284.11</v>
      </c>
      <c r="C14" s="12" t="n">
        <v>357.66</v>
      </c>
      <c r="D14" s="12" t="n">
        <v>561.52</v>
      </c>
      <c r="E14" s="12" t="n">
        <v>512.51</v>
      </c>
      <c r="F14" s="12" t="n">
        <v>582.42</v>
      </c>
      <c r="G14" s="12" t="n">
        <v>753</v>
      </c>
    </row>
    <row r="15">
      <c r="A15" s="11" t="inlineStr">
        <is>
          <t>Current investments</t>
        </is>
      </c>
      <c r="B15" s="12" t="n">
        <v>84.54000000000001</v>
      </c>
      <c r="C15" s="12" t="n">
        <v>104.19</v>
      </c>
      <c r="D15" s="12" t="n">
        <v>31.11</v>
      </c>
      <c r="E15" s="12" t="n">
        <v>486.03</v>
      </c>
      <c r="F15" s="12" t="n">
        <v>471.8</v>
      </c>
      <c r="G15" s="12" t="n">
        <v>1100</v>
      </c>
    </row>
    <row r="16">
      <c r="A16" s="11" t="inlineStr">
        <is>
          <t>Cash, bank balances, loans &amp; other financial assets</t>
        </is>
      </c>
      <c r="B16" s="12" t="n">
        <v>550.87</v>
      </c>
      <c r="C16" s="12" t="n">
        <v>102.2</v>
      </c>
      <c r="D16" s="12" t="n">
        <v>42.69</v>
      </c>
      <c r="E16" s="12" t="n">
        <v>46.4</v>
      </c>
      <c r="F16" s="12" t="n">
        <v>59.4</v>
      </c>
      <c r="G16" s="12" t="n">
        <v>182</v>
      </c>
    </row>
    <row r="17">
      <c r="A17" s="11" t="inlineStr">
        <is>
          <t>Other current assets</t>
        </is>
      </c>
      <c r="B17" s="12" t="n">
        <v>94.84999999999999</v>
      </c>
      <c r="C17" s="12" t="n">
        <v>197.68</v>
      </c>
      <c r="D17" s="12" t="n">
        <v>362.73</v>
      </c>
      <c r="E17" s="12" t="n">
        <v>136.62</v>
      </c>
      <c r="F17" s="12" t="n">
        <v>152.8</v>
      </c>
      <c r="G17" s="12" t="n">
        <v>199</v>
      </c>
    </row>
    <row r="18">
      <c r="A18" s="6" t="inlineStr">
        <is>
          <t>Total assets</t>
        </is>
      </c>
      <c r="B18" s="14">
        <f>SUM(B5:B17)</f>
        <v/>
      </c>
      <c r="C18" s="14">
        <f>SUM(C5:C17)</f>
        <v/>
      </c>
      <c r="D18" s="14">
        <f>SUM(D5:D17)</f>
        <v/>
      </c>
      <c r="E18" s="14">
        <f>SUM(E5:E17)</f>
        <v/>
      </c>
      <c r="F18" s="14">
        <f>SUM(F5:F17)</f>
        <v/>
      </c>
      <c r="G18" s="14">
        <f>SUM(G5:G17)</f>
        <v/>
      </c>
    </row>
    <row r="20">
      <c r="A20" s="18" t="inlineStr">
        <is>
          <t>EQUITY &amp; LIABILITIES</t>
        </is>
      </c>
      <c r="B20" s="19" t="n"/>
      <c r="C20" s="19" t="n"/>
      <c r="D20" s="19" t="n"/>
      <c r="E20" s="19" t="n"/>
      <c r="F20" s="19" t="n"/>
      <c r="G20" s="19" t="n"/>
    </row>
    <row r="21">
      <c r="A21" s="11" t="inlineStr">
        <is>
          <t>Equity share capital</t>
        </is>
      </c>
      <c r="B21" s="12" t="n">
        <v>9.9</v>
      </c>
      <c r="C21" s="12" t="n">
        <v>9.91</v>
      </c>
      <c r="D21" s="12" t="n">
        <v>9.91</v>
      </c>
      <c r="E21" s="12" t="n">
        <v>9.91</v>
      </c>
      <c r="F21" s="12" t="n">
        <v>9.92</v>
      </c>
      <c r="G21" s="12" t="n">
        <v>10.25</v>
      </c>
    </row>
    <row r="22">
      <c r="A22" s="11" t="inlineStr">
        <is>
          <t>Other equity (reserves &amp; surplus)</t>
        </is>
      </c>
      <c r="B22" s="12" t="n">
        <v>1624.01</v>
      </c>
      <c r="C22" s="12" t="n">
        <v>1834.31</v>
      </c>
      <c r="D22" s="12" t="n">
        <v>2175.04</v>
      </c>
      <c r="E22" s="12" t="n">
        <v>2372.76</v>
      </c>
      <c r="F22" s="12" t="n">
        <v>2616.31</v>
      </c>
      <c r="G22" s="12" t="n">
        <v>3964</v>
      </c>
    </row>
    <row r="23">
      <c r="A23" s="11" t="inlineStr">
        <is>
          <t>Non-current borrowings</t>
        </is>
      </c>
      <c r="B23" s="12" t="n">
        <v>0</v>
      </c>
      <c r="C23" s="12" t="n">
        <v>100</v>
      </c>
      <c r="D23" s="12" t="n">
        <v>753.13</v>
      </c>
      <c r="E23" s="12" t="n">
        <v>1022.86</v>
      </c>
      <c r="F23" s="12" t="n">
        <v>1053.44</v>
      </c>
      <c r="G23" s="12" t="n">
        <v>1010</v>
      </c>
    </row>
    <row r="24">
      <c r="A24" s="11" t="inlineStr">
        <is>
          <t>Current borrowings</t>
        </is>
      </c>
      <c r="B24" s="12" t="n">
        <v>2.52</v>
      </c>
      <c r="C24" s="12" t="n">
        <v>4.47</v>
      </c>
      <c r="D24" s="12" t="n">
        <v>95.52</v>
      </c>
      <c r="E24" s="12" t="n">
        <v>317.08</v>
      </c>
      <c r="F24" s="12" t="n">
        <v>387.29</v>
      </c>
      <c r="G24" s="12" t="n">
        <v>235</v>
      </c>
    </row>
    <row r="25">
      <c r="A25" s="11" t="inlineStr">
        <is>
          <t>Lease liabilities (NC + current)</t>
        </is>
      </c>
      <c r="B25" s="12" t="n">
        <v>0</v>
      </c>
      <c r="C25" s="12" t="n">
        <v>16.35</v>
      </c>
      <c r="D25" s="12" t="n">
        <v>12.15</v>
      </c>
      <c r="E25" s="12" t="n">
        <v>28.52</v>
      </c>
      <c r="F25" s="12" t="n">
        <v>25.66</v>
      </c>
      <c r="G25" s="12" t="n">
        <v>27</v>
      </c>
    </row>
    <row r="26">
      <c r="A26" s="11" t="inlineStr">
        <is>
          <t>Deferred tax liabilities (net)</t>
        </is>
      </c>
      <c r="B26" s="12" t="n">
        <v>20.74</v>
      </c>
      <c r="C26" s="12" t="n">
        <v>20.14</v>
      </c>
      <c r="D26" s="12" t="n">
        <v>34.75</v>
      </c>
      <c r="E26" s="12" t="n">
        <v>64.33</v>
      </c>
      <c r="F26" s="12" t="n">
        <v>75.41</v>
      </c>
      <c r="G26" s="12" t="n">
        <v>85</v>
      </c>
    </row>
    <row r="27">
      <c r="A27" s="11" t="inlineStr">
        <is>
          <t>Provisions (NC + current)</t>
        </is>
      </c>
      <c r="B27" s="12" t="n">
        <v>14.9</v>
      </c>
      <c r="C27" s="12" t="n">
        <v>19.08</v>
      </c>
      <c r="D27" s="12" t="n">
        <v>23.05</v>
      </c>
      <c r="E27" s="12" t="n">
        <v>30.61</v>
      </c>
      <c r="F27" s="12" t="n">
        <v>26.88</v>
      </c>
      <c r="G27" s="12" t="n">
        <v>28</v>
      </c>
    </row>
    <row r="28">
      <c r="A28" s="11" t="inlineStr">
        <is>
          <t>Trade payables</t>
        </is>
      </c>
      <c r="B28" s="12" t="n">
        <v>107.42</v>
      </c>
      <c r="C28" s="12" t="n">
        <v>146.53</v>
      </c>
      <c r="D28" s="12" t="n">
        <v>243.48</v>
      </c>
      <c r="E28" s="12" t="n">
        <v>302.5</v>
      </c>
      <c r="F28" s="12" t="n">
        <v>326.96</v>
      </c>
      <c r="G28" s="12" t="n">
        <v>521</v>
      </c>
    </row>
    <row r="29">
      <c r="A29" s="11" t="inlineStr">
        <is>
          <t>Other liabilities (financial, contract, tax &amp; other)</t>
        </is>
      </c>
      <c r="B29" s="12" t="n">
        <v>118.01</v>
      </c>
      <c r="C29" s="12" t="n">
        <v>234.69</v>
      </c>
      <c r="D29" s="12" t="n">
        <v>182.26</v>
      </c>
      <c r="E29" s="12" t="n">
        <v>228.43</v>
      </c>
      <c r="F29" s="12" t="n">
        <v>308.51</v>
      </c>
      <c r="G29" s="12" t="n">
        <v>498.75</v>
      </c>
    </row>
    <row r="30">
      <c r="A30" s="6" t="inlineStr">
        <is>
          <t>Total equity &amp; liabilities</t>
        </is>
      </c>
      <c r="B30" s="14">
        <f>SUM(B21:B29)</f>
        <v/>
      </c>
      <c r="C30" s="14">
        <f>SUM(C21:C29)</f>
        <v/>
      </c>
      <c r="D30" s="14">
        <f>SUM(D21:D29)</f>
        <v/>
      </c>
      <c r="E30" s="14">
        <f>SUM(E21:E29)</f>
        <v/>
      </c>
      <c r="F30" s="14">
        <f>SUM(F21:F29)</f>
        <v/>
      </c>
      <c r="G30" s="14">
        <f>SUM(G21:G29)</f>
        <v/>
      </c>
    </row>
    <row r="32">
      <c r="A32" s="18" t="inlineStr">
        <is>
          <t>Data sources &amp; methodology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</row>
    <row r="33" ht="58" customHeight="1">
      <c r="A33" s="31" t="inlineStr">
        <is>
          <t>1. Historical (FY2021-FY2025): Consolidated Statement of Profit &amp; Loss, Balance Sheet and Cash Flow from Navin Fluorine's audited Annual Reports FY2020-21 to FY2024-25. FY2020-21 reported in Rs Lakhs (converted to Rs Crore at /100); FY2022 onward reported in Rs Crore.</t>
        </is>
      </c>
    </row>
    <row r="34" ht="58" customHeight="1">
      <c r="A34" s="31" t="inlineStr">
        <is>
          <t>2. FY2026 (base year): Audited consolidated full-year results (year ended 31-Mar-2026). Revenue Rs3,314 Cr (+41% YoY), EBITDA Rs1,082 Cr (32.6% margin), PBT Rs873 Cr, PAT Rs664 Cr, EPS Rs129.5. Cross-checked with Screener.in consolidated data and management commentary. The FY26 balance-sheet line-item split is an estimate reconciled to reported aggregates (Total assets Rs6,379 Cr, Reserves Rs3,964 Cr, Borrowings Rs1,272 Cr); a Rs750 Cr QIP was completed in Jul-2025 (shares ~5.125 Cr).</t>
        </is>
      </c>
    </row>
    <row r="35" ht="58" customHeight="1">
      <c r="A35" s="31" t="inlineStr">
        <is>
          <t>3. Forecast (FY2027-FY2033): Driver-based on the Assumptions sheet (revenue growth, margins, capex, working-capital days, debt, tax, payout). Three statements are fully integrated and the balance sheet balances automatically (see Balance Sheet check row).</t>
        </is>
      </c>
    </row>
    <row r="36" ht="58" customHeight="1">
      <c r="A36" s="31" t="inlineStr">
        <is>
          <t>4. Valuation: FCFF DCF with WACC built from Rf (India 10Y G-sec ~6.8%), ERP 6.0% and a blended beta (~0.85, Beta Calculation sheet), plus terminal growth 5.5%. Relative valuation uses Indian specialty-chemical peers (SRF, PI Industries, Gujarat Fluorochemicals, Aarti Industries, Vinati Organics).</t>
        </is>
      </c>
    </row>
    <row r="37" ht="58" customHeight="1">
      <c r="A37" s="31" t="inlineStr">
        <is>
          <t>5. Market &amp; peer data as of late-June 2026, sourced from exchange filings, Screener.in, BusinessToday and trading-economics (Rf). Colour key: blue = hard-coded input, green = link/external reference, black = formula.</t>
        </is>
      </c>
    </row>
  </sheetData>
  <mergeCells count="5">
    <mergeCell ref="A34:N34"/>
    <mergeCell ref="A35:N35"/>
    <mergeCell ref="A33:N33"/>
    <mergeCell ref="A37:N37"/>
    <mergeCell ref="A36:N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2026-06-27T05:48:11Z</dcterms:created>
  <dcterms:modified xsi:type="dcterms:W3CDTF">2026-06-27T05:48:12Z</dcterms:modified>
</cp:coreProperties>
</file>